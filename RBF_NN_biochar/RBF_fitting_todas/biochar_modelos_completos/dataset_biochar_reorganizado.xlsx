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os" sheetId="1" state="visible" r:id="rId3"/>
    <sheet name="Notas metodológicas" sheetId="2" state="visible" r:id="rId4"/>
  </sheets>
  <definedNames>
    <definedName function="false" hidden="true" localSheetId="0" name="_xlnm._FilterDatabase" vbProcedure="false">Datos!$A$5:$Q$88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" authorId="0">
      <text>
        <r>
          <rPr>
            <sz val="10"/>
            <rFont val="Arial"/>
            <family val="2"/>
          </rPr>
          <t xml:space="preserve">6 variables de entrada: ORIGEN y CAT son categoricas (3 niveles cada una, diseño 3x3 balanceado); CARGA %, TR, N2 y T son continuas (T y TR toman 3 niveles discretos por diseño experimental; N2 y CARGA % tienen variacion continua).</t>
        </r>
      </text>
    </comment>
    <comment ref="H4" authorId="0">
      <text>
        <r>
          <rPr>
            <sz val="10"/>
            <rFont val="Arial"/>
            <family val="2"/>
          </rPr>
          <t xml:space="preserve">H2 + CO + CH4 + CO2 = 1 exactamente en cada fila (dato composicional / fracciones molares). La columna 'Suma (verif.)' recalcula esta suma con una formula para chequeo. Al modelar, considerar que solo 3 de los 4 gases son independientes (el 4to queda determinado por los otros 3).</t>
        </r>
      </text>
    </comment>
    <comment ref="M4" authorId="0">
      <text>
        <r>
          <rPr>
            <sz val="10"/>
            <rFont val="Arial"/>
            <family val="2"/>
          </rPr>
          <t xml:space="preserve">CONFIRMADO POR EL USUARIO: estas 3 variables se miden DESPUES de la pirolisis (caracterizan el solido/biochar resultante, no la biomasa cruda). Por lo tanto son variables de SALIDA, no deben usarse como entrada del modelo. Ademas, CENIZA + PERDIDA AL FUEGO = 1 exactamente en cada fila (colinealidad perfecta): son la misma informacion expresada de dos formas. Se recomienda modelar solo una de las dos (p.ej. CENIZA) junto con % Solido, es decir 2 salidas independientes de estas 3 columnas.</t>
        </r>
      </text>
    </comment>
    <comment ref="Q4" authorId="0">
      <text>
        <r>
          <rPr>
            <sz val="10"/>
            <rFont val="Arial"/>
            <family val="2"/>
          </rPr>
          <t xml:space="preserve">H2/CO se calcula a partir de las columnas H2 y CO ya presentes en esta tabla (formula, no dato nuevo). No aporta informacion independiente: no usar como entrada ni como salida separada del modelo.</t>
        </r>
      </text>
    </comment>
  </commentList>
</comments>
</file>

<file path=xl/sharedStrings.xml><?xml version="1.0" encoding="utf-8"?>
<sst xmlns="http://schemas.openxmlformats.org/spreadsheetml/2006/main" count="213" uniqueCount="47">
  <si>
    <t xml:space="preserve">Pirólisis catalítica de biochar — dataset reorganizado (entradas vs. salidas)</t>
  </si>
  <si>
    <t xml:space="preserve">Reorganizado a partir de '05_Raw_Original_Dataset_Reference.xlsx'. Datos experimentales sin modificar; solo se reordenan y documentan las variables.</t>
  </si>
  <si>
    <t xml:space="preserve">ENTRADAS (variables independientes)</t>
  </si>
  <si>
    <t xml:space="preserve">SALIDAS — COMPOSICIÓN DE GAS (suma = 1)</t>
  </si>
  <si>
    <t xml:space="preserve">SALIDAS — SÓLIDO / BIOCHAR (medido después de la pirólisis)</t>
  </si>
  <si>
    <t xml:space="preserve">REFERENCIA (derivada, no usar en el modelo)</t>
  </si>
  <si>
    <t xml:space="preserve">N°</t>
  </si>
  <si>
    <t xml:space="preserve">ORIGEN</t>
  </si>
  <si>
    <t xml:space="preserve">CAT</t>
  </si>
  <si>
    <t xml:space="preserve">CARGA %</t>
  </si>
  <si>
    <t xml:space="preserve">TR</t>
  </si>
  <si>
    <t xml:space="preserve">N2</t>
  </si>
  <si>
    <t xml:space="preserve">T (°C)</t>
  </si>
  <si>
    <t xml:space="preserve">H2</t>
  </si>
  <si>
    <t xml:space="preserve">CO</t>
  </si>
  <si>
    <t xml:space="preserve">CH4</t>
  </si>
  <si>
    <t xml:space="preserve">CO2</t>
  </si>
  <si>
    <t xml:space="preserve">Suma (verif.)</t>
  </si>
  <si>
    <t xml:space="preserve">CENIZA</t>
  </si>
  <si>
    <t xml:space="preserve">% Solido</t>
  </si>
  <si>
    <t xml:space="preserve">PERDIDA AL FUEGO</t>
  </si>
  <si>
    <t xml:space="preserve">Suma CENIZA+PERDIDA (verif.)</t>
  </si>
  <si>
    <t xml:space="preserve">H2/CO</t>
  </si>
  <si>
    <t xml:space="preserve">amazonas</t>
  </si>
  <si>
    <t xml:space="preserve">CaO</t>
  </si>
  <si>
    <t xml:space="preserve">MgO</t>
  </si>
  <si>
    <t xml:space="preserve">No CAT</t>
  </si>
  <si>
    <t xml:space="preserve">cimitarra</t>
  </si>
  <si>
    <t xml:space="preserve">maceo</t>
  </si>
  <si>
    <t xml:space="preserve">Variables de ENTRADA (independientes) — 6 en total</t>
  </si>
  <si>
    <t xml:space="preserve">Categórica, 3 niveles: amazonas, cimitarra, maceo.</t>
  </si>
  <si>
    <t xml:space="preserve">Categórica, 3 niveles: CaO, MgO, No CAT.</t>
  </si>
  <si>
    <t xml:space="preserve">Continua (0, 0.05, 0.10). Confirmado por el usuario como entrada.</t>
  </si>
  <si>
    <t xml:space="preserve">Continua / 3 niveles por diseño (0.25, 0.5, 1.0).</t>
  </si>
  <si>
    <t xml:space="preserve">Continua (1.066 a 4.475). Correlación moderada con TR (r=0.81).</t>
  </si>
  <si>
    <t xml:space="preserve">T</t>
  </si>
  <si>
    <t xml:space="preserve">Continua / 3 niveles por diseño (400, 600, 800 °C). Etiquetada como 'SALIDA' en el archivo original por error; es entrada.</t>
  </si>
  <si>
    <t xml:space="preserve">Variables de SALIDA (dependientes) — 7 columnas, con redundancias</t>
  </si>
  <si>
    <t xml:space="preserve">H2, CO, CH4, CO2</t>
  </si>
  <si>
    <t xml:space="preserve">Composición de gas. Suman exactamente 1 en cada fila (dato composicional). Solo 3 de los 4 son independientes.</t>
  </si>
  <si>
    <t xml:space="preserve">CENIZA, % Solido, PERDIDA AL FUEGO</t>
  </si>
  <si>
    <t xml:space="preserve">Caracterización del sólido/biochar, medida DESPUÉS de la pirólisis (confirmado por el usuario) — son salidas, no entradas. CENIZA + PERDIDA AL FUEGO = 1 exactamente (colinealidad perfecta): usar solo una de las dos como salida independiente.</t>
  </si>
  <si>
    <t xml:space="preserve">Columnas de REFERENCIA (no usar en el modelo)</t>
  </si>
  <si>
    <t xml:space="preserve">Calculada a partir de H2 y CO ya presentes en la tabla.</t>
  </si>
  <si>
    <t xml:space="preserve">Pendiente de decidir con el usuario</t>
  </si>
  <si>
    <t xml:space="preserve">Estrategia para modelar los 4 gases composicionales</t>
  </si>
  <si>
    <t xml:space="preserve">Opciones: (a) modelar 3 y derivar el 4to por resta; (b) modelar los 4 independientemente y normalizar al final; (c) transformación log-ratio (Aitchison) antes de modelar.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</si>
</sst>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%"/>
    <numFmt numFmtId="166" formatCode="0.00"/>
    <numFmt numFmtId="167" formatCode="0.000"/>
    <numFmt numFmtId="168" formatCode="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8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sz val="10"/>
      <name val="Arial"/>
      <family val="2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E5395"/>
        <bgColor rgb="FF595959"/>
      </patternFill>
    </fill>
    <fill>
      <patternFill patternType="solid">
        <fgColor rgb="FF2E8B57"/>
        <bgColor rgb="FF008080"/>
      </patternFill>
    </fill>
    <fill>
      <patternFill patternType="solid">
        <fgColor rgb="FFC0622A"/>
        <bgColor rgb="FF993300"/>
      </patternFill>
    </fill>
    <fill>
      <patternFill patternType="solid">
        <fgColor rgb="FF7F7F7F"/>
        <bgColor rgb="FF96969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0622A"/>
      <rgbColor rgb="FF595959"/>
      <rgbColor rgb="FF969696"/>
      <rgbColor rgb="FF003366"/>
      <rgbColor rgb="FF2E8B57"/>
      <rgbColor rgb="FF003300"/>
      <rgbColor rgb="FF333300"/>
      <rgbColor rgb="FF993300"/>
      <rgbColor rgb="FF993366"/>
      <rgbColor rgb="FF2E5395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8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3" min="3" style="0" width="8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false" outlineLevel="0" max="6" min="6" style="0" width="8"/>
    <col collapsed="false" customWidth="true" hidden="false" outlineLevel="0" max="7" min="7" style="0" width="9"/>
    <col collapsed="false" customWidth="true" hidden="false" outlineLevel="0" max="11" min="8" style="0" width="8"/>
    <col collapsed="false" customWidth="true" hidden="false" outlineLevel="0" max="12" min="12" style="0" width="11"/>
    <col collapsed="false" customWidth="true" hidden="false" outlineLevel="0" max="14" min="13" style="0" width="9"/>
    <col collapsed="false" customWidth="true" hidden="false" outlineLevel="0" max="15" min="15" style="0" width="14"/>
    <col collapsed="false" customWidth="true" hidden="false" outlineLevel="0" max="16" min="16" style="0" width="15"/>
    <col collapsed="false" customWidth="true" hidden="false" outlineLevel="0" max="17" min="17" style="0" width="8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4" customFormat="false" ht="31.5" hidden="false" customHeight="true" outlineLevel="0" collapsed="false">
      <c r="B4" s="3" t="s">
        <v>2</v>
      </c>
      <c r="C4" s="3"/>
      <c r="D4" s="3"/>
      <c r="E4" s="3"/>
      <c r="F4" s="3"/>
      <c r="G4" s="3"/>
      <c r="H4" s="4" t="s">
        <v>3</v>
      </c>
      <c r="I4" s="4"/>
      <c r="J4" s="4"/>
      <c r="K4" s="4"/>
      <c r="L4" s="4"/>
      <c r="M4" s="5" t="s">
        <v>4</v>
      </c>
      <c r="N4" s="5"/>
      <c r="O4" s="5"/>
      <c r="P4" s="5"/>
      <c r="Q4" s="6" t="s">
        <v>5</v>
      </c>
    </row>
    <row r="5" customFormat="false" ht="27.75" hidden="false" customHeight="true" outlineLevel="0" collapsed="false">
      <c r="A5" s="7" t="s">
        <v>6</v>
      </c>
      <c r="B5" s="7" t="s">
        <v>7</v>
      </c>
      <c r="C5" s="7" t="s">
        <v>8</v>
      </c>
      <c r="D5" s="7" t="s">
        <v>9</v>
      </c>
      <c r="E5" s="7" t="s">
        <v>10</v>
      </c>
      <c r="F5" s="7" t="s">
        <v>11</v>
      </c>
      <c r="G5" s="7" t="s">
        <v>12</v>
      </c>
      <c r="H5" s="7" t="s">
        <v>13</v>
      </c>
      <c r="I5" s="7" t="s">
        <v>14</v>
      </c>
      <c r="J5" s="7" t="s">
        <v>15</v>
      </c>
      <c r="K5" s="7" t="s">
        <v>16</v>
      </c>
      <c r="L5" s="7" t="s">
        <v>17</v>
      </c>
      <c r="M5" s="7" t="s">
        <v>18</v>
      </c>
      <c r="N5" s="7" t="s">
        <v>19</v>
      </c>
      <c r="O5" s="7" t="s">
        <v>20</v>
      </c>
      <c r="P5" s="7" t="s">
        <v>21</v>
      </c>
      <c r="Q5" s="7" t="s">
        <v>22</v>
      </c>
    </row>
    <row r="6" customFormat="false" ht="15" hidden="false" customHeight="false" outlineLevel="0" collapsed="false">
      <c r="A6" s="8" t="n">
        <v>1</v>
      </c>
      <c r="B6" s="8" t="s">
        <v>23</v>
      </c>
      <c r="C6" s="8" t="s">
        <v>24</v>
      </c>
      <c r="D6" s="9" t="n">
        <v>0.05</v>
      </c>
      <c r="E6" s="10" t="n">
        <v>0.25</v>
      </c>
      <c r="F6" s="11" t="n">
        <v>1.066</v>
      </c>
      <c r="G6" s="12" t="n">
        <v>400</v>
      </c>
      <c r="H6" s="9" t="n">
        <v>0.0478664065578794</v>
      </c>
      <c r="I6" s="9" t="n">
        <v>0.115183258929281</v>
      </c>
      <c r="J6" s="9" t="n">
        <v>0.375467453610402</v>
      </c>
      <c r="K6" s="9" t="n">
        <v>0.461482880902437</v>
      </c>
      <c r="L6" s="9" t="n">
        <f aca="false">SUM(H6:K6)</f>
        <v>1</v>
      </c>
      <c r="M6" s="9" t="n">
        <v>0.150374812593703</v>
      </c>
      <c r="N6" s="9" t="n">
        <v>0.6175</v>
      </c>
      <c r="O6" s="9" t="n">
        <v>0.849625187406297</v>
      </c>
      <c r="P6" s="9" t="n">
        <f aca="false">M6+O6</f>
        <v>1</v>
      </c>
      <c r="Q6" s="11" t="n">
        <f aca="false">H6/I6</f>
        <v>0.415567392369648</v>
      </c>
    </row>
    <row r="7" customFormat="false" ht="15" hidden="false" customHeight="false" outlineLevel="0" collapsed="false">
      <c r="A7" s="8" t="n">
        <v>2</v>
      </c>
      <c r="B7" s="8" t="s">
        <v>23</v>
      </c>
      <c r="C7" s="8" t="s">
        <v>24</v>
      </c>
      <c r="D7" s="9" t="n">
        <v>0.05</v>
      </c>
      <c r="E7" s="10" t="n">
        <v>0.5</v>
      </c>
      <c r="F7" s="11" t="n">
        <v>2.238</v>
      </c>
      <c r="G7" s="12" t="n">
        <v>400</v>
      </c>
      <c r="H7" s="9" t="n">
        <v>0.0576068114410242</v>
      </c>
      <c r="I7" s="9" t="n">
        <v>0.110855607157135</v>
      </c>
      <c r="J7" s="9" t="n">
        <v>0.36365248434512</v>
      </c>
      <c r="K7" s="9" t="n">
        <v>0.46788509705672</v>
      </c>
      <c r="L7" s="9" t="n">
        <f aca="false">SUM(H7:K7)</f>
        <v>1</v>
      </c>
      <c r="M7" s="9" t="n">
        <v>0.235153565809331</v>
      </c>
      <c r="N7" s="9" t="n">
        <v>0.619676785714286</v>
      </c>
      <c r="O7" s="9" t="n">
        <v>0.764846434190669</v>
      </c>
      <c r="P7" s="9" t="n">
        <f aca="false">M7+O7</f>
        <v>1</v>
      </c>
      <c r="Q7" s="11" t="n">
        <f aca="false">H7/I7</f>
        <v>0.519656271056888</v>
      </c>
    </row>
    <row r="8" customFormat="false" ht="15" hidden="false" customHeight="false" outlineLevel="0" collapsed="false">
      <c r="A8" s="8" t="n">
        <v>3</v>
      </c>
      <c r="B8" s="8" t="s">
        <v>23</v>
      </c>
      <c r="C8" s="8" t="s">
        <v>24</v>
      </c>
      <c r="D8" s="9" t="n">
        <v>0.05</v>
      </c>
      <c r="E8" s="10" t="n">
        <v>1</v>
      </c>
      <c r="F8" s="11" t="n">
        <v>4.475</v>
      </c>
      <c r="G8" s="12" t="n">
        <v>400</v>
      </c>
      <c r="H8" s="9" t="n">
        <v>0.0535358894017528</v>
      </c>
      <c r="I8" s="9" t="n">
        <v>0.10048457378063</v>
      </c>
      <c r="J8" s="9" t="n">
        <v>0.369544974477813</v>
      </c>
      <c r="K8" s="9" t="n">
        <v>0.476434562339804</v>
      </c>
      <c r="L8" s="9" t="n">
        <f aca="false">SUM(H8:K8)</f>
        <v>1</v>
      </c>
      <c r="M8" s="9" t="n">
        <v>0.253476000000001</v>
      </c>
      <c r="N8" s="9" t="n">
        <v>0.614530357142857</v>
      </c>
      <c r="O8" s="9" t="n">
        <v>0.746524</v>
      </c>
      <c r="P8" s="9" t="n">
        <f aca="false">M8+O8</f>
        <v>1</v>
      </c>
      <c r="Q8" s="11" t="n">
        <f aca="false">H8/I8</f>
        <v>0.532777195419348</v>
      </c>
    </row>
    <row r="9" customFormat="false" ht="15" hidden="false" customHeight="false" outlineLevel="0" collapsed="false">
      <c r="A9" s="8" t="n">
        <v>4</v>
      </c>
      <c r="B9" s="8" t="s">
        <v>23</v>
      </c>
      <c r="C9" s="8" t="s">
        <v>25</v>
      </c>
      <c r="D9" s="9" t="n">
        <v>0.05</v>
      </c>
      <c r="E9" s="10" t="n">
        <v>0.25</v>
      </c>
      <c r="F9" s="11" t="n">
        <v>1.066</v>
      </c>
      <c r="G9" s="12" t="n">
        <v>400</v>
      </c>
      <c r="H9" s="9" t="n">
        <v>0.0317741131369574</v>
      </c>
      <c r="I9" s="9" t="n">
        <v>0.127176441786765</v>
      </c>
      <c r="J9" s="9" t="n">
        <v>0.405623032007772</v>
      </c>
      <c r="K9" s="9" t="n">
        <v>0.435426413068505</v>
      </c>
      <c r="L9" s="9" t="n">
        <f aca="false">SUM(H9:K9)</f>
        <v>1</v>
      </c>
      <c r="M9" s="9" t="n">
        <v>0.150374812593703</v>
      </c>
      <c r="N9" s="9" t="n">
        <v>0.6175</v>
      </c>
      <c r="O9" s="9" t="n">
        <v>0.849625187406297</v>
      </c>
      <c r="P9" s="9" t="n">
        <f aca="false">M9+O9</f>
        <v>1</v>
      </c>
      <c r="Q9" s="11" t="n">
        <f aca="false">H9/I9</f>
        <v>0.249842759323559</v>
      </c>
    </row>
    <row r="10" customFormat="false" ht="15" hidden="false" customHeight="false" outlineLevel="0" collapsed="false">
      <c r="A10" s="8" t="n">
        <v>5</v>
      </c>
      <c r="B10" s="8" t="s">
        <v>23</v>
      </c>
      <c r="C10" s="8" t="s">
        <v>25</v>
      </c>
      <c r="D10" s="9" t="n">
        <v>0.05</v>
      </c>
      <c r="E10" s="10" t="n">
        <v>0.5</v>
      </c>
      <c r="F10" s="11" t="n">
        <v>2.238</v>
      </c>
      <c r="G10" s="12" t="n">
        <v>400</v>
      </c>
      <c r="H10" s="9" t="n">
        <v>0.0210518855888861</v>
      </c>
      <c r="I10" s="9" t="n">
        <v>0.134353473226272</v>
      </c>
      <c r="J10" s="9" t="n">
        <v>0.392075679527332</v>
      </c>
      <c r="K10" s="9" t="n">
        <v>0.45251896165751</v>
      </c>
      <c r="L10" s="9" t="n">
        <f aca="false">SUM(H10:K10)</f>
        <v>1</v>
      </c>
      <c r="M10" s="9" t="n">
        <v>0.235153565809331</v>
      </c>
      <c r="N10" s="9" t="n">
        <v>0.619676785714286</v>
      </c>
      <c r="O10" s="9" t="n">
        <v>0.764846434190669</v>
      </c>
      <c r="P10" s="9" t="n">
        <f aca="false">M10+O10</f>
        <v>1</v>
      </c>
      <c r="Q10" s="11" t="n">
        <f aca="false">H10/I10</f>
        <v>0.156690296747531</v>
      </c>
    </row>
    <row r="11" customFormat="false" ht="15" hidden="false" customHeight="false" outlineLevel="0" collapsed="false">
      <c r="A11" s="8" t="n">
        <v>6</v>
      </c>
      <c r="B11" s="8" t="s">
        <v>23</v>
      </c>
      <c r="C11" s="8" t="s">
        <v>25</v>
      </c>
      <c r="D11" s="9" t="n">
        <v>0.05</v>
      </c>
      <c r="E11" s="10" t="n">
        <v>1</v>
      </c>
      <c r="F11" s="11" t="n">
        <v>4.475</v>
      </c>
      <c r="G11" s="12" t="n">
        <v>400</v>
      </c>
      <c r="H11" s="9" t="n">
        <v>0.0183587994185565</v>
      </c>
      <c r="I11" s="9" t="n">
        <v>0.10889004069334</v>
      </c>
      <c r="J11" s="9" t="n">
        <v>0.387847141021271</v>
      </c>
      <c r="K11" s="9" t="n">
        <v>0.484904018866832</v>
      </c>
      <c r="L11" s="9" t="n">
        <f aca="false">SUM(H11:K11)</f>
        <v>1</v>
      </c>
      <c r="M11" s="9" t="n">
        <v>0.253476000000001</v>
      </c>
      <c r="N11" s="9" t="n">
        <v>0.614530357142857</v>
      </c>
      <c r="O11" s="9" t="n">
        <v>0.746524</v>
      </c>
      <c r="P11" s="9" t="n">
        <f aca="false">M11+O11</f>
        <v>1</v>
      </c>
      <c r="Q11" s="11" t="n">
        <f aca="false">H11/I11</f>
        <v>0.168599435739575</v>
      </c>
    </row>
    <row r="12" customFormat="false" ht="15" hidden="false" customHeight="false" outlineLevel="0" collapsed="false">
      <c r="A12" s="8" t="n">
        <v>7</v>
      </c>
      <c r="B12" s="8" t="s">
        <v>23</v>
      </c>
      <c r="C12" s="8" t="s">
        <v>26</v>
      </c>
      <c r="D12" s="9" t="n">
        <v>0.05</v>
      </c>
      <c r="E12" s="10" t="n">
        <v>0.25</v>
      </c>
      <c r="F12" s="11" t="n">
        <v>1.066</v>
      </c>
      <c r="G12" s="12" t="n">
        <v>400</v>
      </c>
      <c r="H12" s="9" t="n">
        <v>0.0374679620224854</v>
      </c>
      <c r="I12" s="9" t="n">
        <v>0.127656638650536</v>
      </c>
      <c r="J12" s="9" t="n">
        <v>0.312366493116421</v>
      </c>
      <c r="K12" s="9" t="n">
        <v>0.522508906210558</v>
      </c>
      <c r="L12" s="9" t="n">
        <f aca="false">SUM(H12:K12)</f>
        <v>1</v>
      </c>
      <c r="M12" s="9" t="n">
        <v>0.150374812593703</v>
      </c>
      <c r="N12" s="9" t="n">
        <v>0.6175</v>
      </c>
      <c r="O12" s="9" t="n">
        <v>0.849625187406297</v>
      </c>
      <c r="P12" s="9" t="n">
        <f aca="false">M12+O12</f>
        <v>1</v>
      </c>
      <c r="Q12" s="11" t="n">
        <f aca="false">H12/I12</f>
        <v>0.293505785665054</v>
      </c>
    </row>
    <row r="13" customFormat="false" ht="15" hidden="false" customHeight="false" outlineLevel="0" collapsed="false">
      <c r="A13" s="8" t="n">
        <v>8</v>
      </c>
      <c r="B13" s="8" t="s">
        <v>23</v>
      </c>
      <c r="C13" s="8" t="s">
        <v>26</v>
      </c>
      <c r="D13" s="9" t="n">
        <v>0.05</v>
      </c>
      <c r="E13" s="10" t="n">
        <v>0.5</v>
      </c>
      <c r="F13" s="11" t="n">
        <v>2.238</v>
      </c>
      <c r="G13" s="12" t="n">
        <v>400</v>
      </c>
      <c r="H13" s="9" t="n">
        <v>0.0243440557972913</v>
      </c>
      <c r="I13" s="9" t="n">
        <v>0.134008160502763</v>
      </c>
      <c r="J13" s="9" t="n">
        <v>0.294778693889948</v>
      </c>
      <c r="K13" s="9" t="n">
        <v>0.546869089809998</v>
      </c>
      <c r="L13" s="9" t="n">
        <f aca="false">SUM(H13:K13)</f>
        <v>1</v>
      </c>
      <c r="M13" s="9" t="n">
        <v>0.235153565809331</v>
      </c>
      <c r="N13" s="9" t="n">
        <v>0.619676785714286</v>
      </c>
      <c r="O13" s="9" t="n">
        <v>0.764846434190669</v>
      </c>
      <c r="P13" s="9" t="n">
        <f aca="false">M13+O13</f>
        <v>1</v>
      </c>
      <c r="Q13" s="11" t="n">
        <f aca="false">H13/I13</f>
        <v>0.181660995165958</v>
      </c>
    </row>
    <row r="14" customFormat="false" ht="15" hidden="false" customHeight="false" outlineLevel="0" collapsed="false">
      <c r="A14" s="8" t="n">
        <v>9</v>
      </c>
      <c r="B14" s="8" t="s">
        <v>23</v>
      </c>
      <c r="C14" s="8" t="s">
        <v>26</v>
      </c>
      <c r="D14" s="9" t="n">
        <v>0.05</v>
      </c>
      <c r="E14" s="10" t="n">
        <v>1</v>
      </c>
      <c r="F14" s="11" t="n">
        <v>4.475</v>
      </c>
      <c r="G14" s="12" t="n">
        <v>400</v>
      </c>
      <c r="H14" s="9" t="n">
        <v>0.0291606980098241</v>
      </c>
      <c r="I14" s="9" t="n">
        <v>0.142341901711197</v>
      </c>
      <c r="J14" s="9" t="n">
        <v>0.277764052997314</v>
      </c>
      <c r="K14" s="9" t="n">
        <v>0.550733347281664</v>
      </c>
      <c r="L14" s="9" t="n">
        <f aca="false">SUM(H14:K14)</f>
        <v>1</v>
      </c>
      <c r="M14" s="9" t="n">
        <v>0.253476000000001</v>
      </c>
      <c r="N14" s="9" t="n">
        <v>0.614530357142857</v>
      </c>
      <c r="O14" s="9" t="n">
        <v>0.746524</v>
      </c>
      <c r="P14" s="9" t="n">
        <f aca="false">M14+O14</f>
        <v>1</v>
      </c>
      <c r="Q14" s="11" t="n">
        <f aca="false">H14/I14</f>
        <v>0.204863765758795</v>
      </c>
    </row>
    <row r="15" customFormat="false" ht="15" hidden="false" customHeight="false" outlineLevel="0" collapsed="false">
      <c r="A15" s="8" t="n">
        <v>10</v>
      </c>
      <c r="B15" s="8" t="s">
        <v>27</v>
      </c>
      <c r="C15" s="8" t="s">
        <v>24</v>
      </c>
      <c r="D15" s="9" t="n">
        <v>0.1</v>
      </c>
      <c r="E15" s="10" t="n">
        <v>0.25</v>
      </c>
      <c r="F15" s="11" t="n">
        <v>1.066</v>
      </c>
      <c r="G15" s="12" t="n">
        <v>400</v>
      </c>
      <c r="H15" s="9" t="n">
        <v>0.0653748086501527</v>
      </c>
      <c r="I15" s="9" t="n">
        <v>0.26100606510214</v>
      </c>
      <c r="J15" s="9" t="n">
        <v>0.3897202485426</v>
      </c>
      <c r="K15" s="9" t="n">
        <v>0.283898877705107</v>
      </c>
      <c r="L15" s="9" t="n">
        <f aca="false">SUM(H15:K15)</f>
        <v>1</v>
      </c>
      <c r="M15" s="9" t="n">
        <v>0.261450085390467</v>
      </c>
      <c r="N15" s="9" t="n">
        <v>0.492761904761905</v>
      </c>
      <c r="O15" s="9" t="n">
        <v>0.738549914609533</v>
      </c>
      <c r="P15" s="9" t="n">
        <f aca="false">M15+O15</f>
        <v>1</v>
      </c>
      <c r="Q15" s="11" t="n">
        <f aca="false">H15/I15</f>
        <v>0.25047237360009</v>
      </c>
    </row>
    <row r="16" customFormat="false" ht="15" hidden="false" customHeight="false" outlineLevel="0" collapsed="false">
      <c r="A16" s="8" t="n">
        <v>11</v>
      </c>
      <c r="B16" s="8" t="s">
        <v>27</v>
      </c>
      <c r="C16" s="8" t="s">
        <v>24</v>
      </c>
      <c r="D16" s="9" t="n">
        <v>0.1</v>
      </c>
      <c r="E16" s="10" t="n">
        <v>0.5</v>
      </c>
      <c r="F16" s="11" t="n">
        <v>2.238</v>
      </c>
      <c r="G16" s="12" t="n">
        <v>400</v>
      </c>
      <c r="H16" s="9" t="n">
        <v>0.0535692668925079</v>
      </c>
      <c r="I16" s="9" t="n">
        <v>0.245737900473779</v>
      </c>
      <c r="J16" s="9" t="n">
        <v>0.359124573757112</v>
      </c>
      <c r="K16" s="9" t="n">
        <v>0.341568258876601</v>
      </c>
      <c r="L16" s="9" t="n">
        <f aca="false">SUM(H16:K16)</f>
        <v>1</v>
      </c>
      <c r="M16" s="9" t="n">
        <v>0.386275421626985</v>
      </c>
      <c r="N16" s="9" t="n">
        <v>0.273681746031746</v>
      </c>
      <c r="O16" s="9" t="n">
        <v>0.613724578373015</v>
      </c>
      <c r="P16" s="9" t="n">
        <f aca="false">M16+O16</f>
        <v>1</v>
      </c>
      <c r="Q16" s="11" t="n">
        <f aca="false">H16/I16</f>
        <v>0.217993507673123</v>
      </c>
    </row>
    <row r="17" customFormat="false" ht="15" hidden="false" customHeight="false" outlineLevel="0" collapsed="false">
      <c r="A17" s="8" t="n">
        <v>12</v>
      </c>
      <c r="B17" s="8" t="s">
        <v>27</v>
      </c>
      <c r="C17" s="8" t="s">
        <v>24</v>
      </c>
      <c r="D17" s="9" t="n">
        <v>0.1</v>
      </c>
      <c r="E17" s="10" t="n">
        <v>1</v>
      </c>
      <c r="F17" s="11" t="n">
        <v>4.475</v>
      </c>
      <c r="G17" s="12" t="n">
        <v>400</v>
      </c>
      <c r="H17" s="9" t="n">
        <v>0.0651235014785278</v>
      </c>
      <c r="I17" s="9" t="n">
        <v>0.238157902545302</v>
      </c>
      <c r="J17" s="9" t="n">
        <v>0.338933789339715</v>
      </c>
      <c r="K17" s="9" t="n">
        <v>0.357784806636455</v>
      </c>
      <c r="L17" s="9" t="n">
        <f aca="false">SUM(H17:K17)</f>
        <v>1</v>
      </c>
      <c r="M17" s="9" t="n">
        <v>0.323542220744682</v>
      </c>
      <c r="N17" s="9" t="n">
        <v>0.360341666666667</v>
      </c>
      <c r="O17" s="9" t="n">
        <v>0.676457779255318</v>
      </c>
      <c r="P17" s="9" t="n">
        <f aca="false">M17+O17</f>
        <v>1</v>
      </c>
      <c r="Q17" s="11" t="n">
        <f aca="false">H17/I17</f>
        <v>0.273446737574203</v>
      </c>
    </row>
    <row r="18" customFormat="false" ht="15" hidden="false" customHeight="false" outlineLevel="0" collapsed="false">
      <c r="A18" s="8" t="n">
        <v>13</v>
      </c>
      <c r="B18" s="8" t="s">
        <v>27</v>
      </c>
      <c r="C18" s="8" t="s">
        <v>25</v>
      </c>
      <c r="D18" s="9" t="n">
        <v>0.1</v>
      </c>
      <c r="E18" s="10" t="n">
        <v>0.25</v>
      </c>
      <c r="F18" s="11" t="n">
        <v>1.066</v>
      </c>
      <c r="G18" s="12" t="n">
        <v>400</v>
      </c>
      <c r="H18" s="9" t="n">
        <v>0.0335793446165265</v>
      </c>
      <c r="I18" s="9" t="n">
        <v>0.142598157825972</v>
      </c>
      <c r="J18" s="9" t="n">
        <v>0.391891991334348</v>
      </c>
      <c r="K18" s="9" t="n">
        <v>0.431930506223153</v>
      </c>
      <c r="L18" s="9" t="n">
        <f aca="false">SUM(H18:K18)</f>
        <v>1</v>
      </c>
      <c r="M18" s="9" t="n">
        <v>0.261450085390467</v>
      </c>
      <c r="N18" s="9" t="n">
        <v>0.492761904761905</v>
      </c>
      <c r="O18" s="9" t="n">
        <v>0.738549914609533</v>
      </c>
      <c r="P18" s="9" t="n">
        <f aca="false">M18+O18</f>
        <v>1</v>
      </c>
      <c r="Q18" s="11" t="n">
        <f aca="false">H18/I18</f>
        <v>0.235482317082293</v>
      </c>
    </row>
    <row r="19" customFormat="false" ht="15" hidden="false" customHeight="false" outlineLevel="0" collapsed="false">
      <c r="A19" s="8" t="n">
        <v>14</v>
      </c>
      <c r="B19" s="8" t="s">
        <v>27</v>
      </c>
      <c r="C19" s="8" t="s">
        <v>25</v>
      </c>
      <c r="D19" s="9" t="n">
        <v>0.1</v>
      </c>
      <c r="E19" s="10" t="n">
        <v>0.5</v>
      </c>
      <c r="F19" s="11" t="n">
        <v>2.238</v>
      </c>
      <c r="G19" s="12" t="n">
        <v>400</v>
      </c>
      <c r="H19" s="9" t="n">
        <v>0.0273254291101968</v>
      </c>
      <c r="I19" s="9" t="n">
        <v>0.125232953158928</v>
      </c>
      <c r="J19" s="9" t="n">
        <v>0.377540260098965</v>
      </c>
      <c r="K19" s="9" t="n">
        <v>0.46990135763191</v>
      </c>
      <c r="L19" s="9" t="n">
        <f aca="false">SUM(H19:K19)</f>
        <v>1</v>
      </c>
      <c r="M19" s="9" t="n">
        <v>0.386275421626985</v>
      </c>
      <c r="N19" s="9" t="n">
        <v>0.273681746031746</v>
      </c>
      <c r="O19" s="9" t="n">
        <v>0.613724578373015</v>
      </c>
      <c r="P19" s="9" t="n">
        <f aca="false">M19+O19</f>
        <v>1</v>
      </c>
      <c r="Q19" s="11" t="n">
        <f aca="false">H19/I19</f>
        <v>0.218196795818743</v>
      </c>
    </row>
    <row r="20" customFormat="false" ht="15" hidden="false" customHeight="false" outlineLevel="0" collapsed="false">
      <c r="A20" s="8" t="n">
        <v>15</v>
      </c>
      <c r="B20" s="8" t="s">
        <v>27</v>
      </c>
      <c r="C20" s="8" t="s">
        <v>25</v>
      </c>
      <c r="D20" s="9" t="n">
        <v>0.1</v>
      </c>
      <c r="E20" s="10" t="n">
        <v>1</v>
      </c>
      <c r="F20" s="11" t="n">
        <v>4.475</v>
      </c>
      <c r="G20" s="12" t="n">
        <v>400</v>
      </c>
      <c r="H20" s="9" t="n">
        <v>0.0451438953994663</v>
      </c>
      <c r="I20" s="9" t="n">
        <v>0.130767795709931</v>
      </c>
      <c r="J20" s="9" t="n">
        <v>0.394036171406157</v>
      </c>
      <c r="K20" s="9" t="n">
        <v>0.430052137484445</v>
      </c>
      <c r="L20" s="9" t="n">
        <f aca="false">SUM(H20:K20)</f>
        <v>1</v>
      </c>
      <c r="M20" s="9" t="n">
        <v>0.323542220744682</v>
      </c>
      <c r="N20" s="9" t="n">
        <v>0.360341666666667</v>
      </c>
      <c r="O20" s="9" t="n">
        <v>0.676457779255318</v>
      </c>
      <c r="P20" s="9" t="n">
        <f aca="false">M20+O20</f>
        <v>1</v>
      </c>
      <c r="Q20" s="11" t="n">
        <f aca="false">H20/I20</f>
        <v>0.345221812101234</v>
      </c>
    </row>
    <row r="21" customFormat="false" ht="15" hidden="false" customHeight="false" outlineLevel="0" collapsed="false">
      <c r="A21" s="8" t="n">
        <v>16</v>
      </c>
      <c r="B21" s="8" t="s">
        <v>27</v>
      </c>
      <c r="C21" s="8" t="s">
        <v>26</v>
      </c>
      <c r="D21" s="9" t="n">
        <v>0.1</v>
      </c>
      <c r="E21" s="10" t="n">
        <v>0.25</v>
      </c>
      <c r="F21" s="11" t="n">
        <v>1.066</v>
      </c>
      <c r="G21" s="12" t="n">
        <v>400</v>
      </c>
      <c r="H21" s="9" t="n">
        <v>0.0122176532583046</v>
      </c>
      <c r="I21" s="9" t="n">
        <v>0.158712379793307</v>
      </c>
      <c r="J21" s="9" t="n">
        <v>0.346820860096539</v>
      </c>
      <c r="K21" s="9" t="n">
        <v>0.482249106851849</v>
      </c>
      <c r="L21" s="9" t="n">
        <f aca="false">SUM(H21:K21)</f>
        <v>1</v>
      </c>
      <c r="M21" s="9" t="n">
        <v>0.261450085390467</v>
      </c>
      <c r="N21" s="9" t="n">
        <v>0.492761904761905</v>
      </c>
      <c r="O21" s="9" t="n">
        <v>0.738549914609533</v>
      </c>
      <c r="P21" s="9" t="n">
        <f aca="false">M21+O21</f>
        <v>1</v>
      </c>
      <c r="Q21" s="11" t="n">
        <f aca="false">H21/I21</f>
        <v>0.0769798378312757</v>
      </c>
    </row>
    <row r="22" customFormat="false" ht="15" hidden="false" customHeight="false" outlineLevel="0" collapsed="false">
      <c r="A22" s="8" t="n">
        <v>17</v>
      </c>
      <c r="B22" s="8" t="s">
        <v>27</v>
      </c>
      <c r="C22" s="8" t="s">
        <v>26</v>
      </c>
      <c r="D22" s="9" t="n">
        <v>0.1</v>
      </c>
      <c r="E22" s="10" t="n">
        <v>0.5</v>
      </c>
      <c r="F22" s="11" t="n">
        <v>2.238</v>
      </c>
      <c r="G22" s="12" t="n">
        <v>400</v>
      </c>
      <c r="H22" s="9" t="n">
        <v>0.0087141646905704</v>
      </c>
      <c r="I22" s="9" t="n">
        <v>0.144161657493686</v>
      </c>
      <c r="J22" s="9" t="n">
        <v>0.349413110788153</v>
      </c>
      <c r="K22" s="9" t="n">
        <v>0.497711067027591</v>
      </c>
      <c r="L22" s="9" t="n">
        <f aca="false">SUM(H22:K22)</f>
        <v>1</v>
      </c>
      <c r="M22" s="9" t="n">
        <v>0.386275421626985</v>
      </c>
      <c r="N22" s="9" t="n">
        <v>0.273681746031746</v>
      </c>
      <c r="O22" s="9" t="n">
        <v>0.613724578373015</v>
      </c>
      <c r="P22" s="9" t="n">
        <f aca="false">M22+O22</f>
        <v>1</v>
      </c>
      <c r="Q22" s="11" t="n">
        <f aca="false">H22/I22</f>
        <v>0.0604471732780409</v>
      </c>
    </row>
    <row r="23" customFormat="false" ht="15" hidden="false" customHeight="false" outlineLevel="0" collapsed="false">
      <c r="A23" s="8" t="n">
        <v>18</v>
      </c>
      <c r="B23" s="8" t="s">
        <v>27</v>
      </c>
      <c r="C23" s="8" t="s">
        <v>26</v>
      </c>
      <c r="D23" s="9" t="n">
        <v>0.1</v>
      </c>
      <c r="E23" s="10" t="n">
        <v>1</v>
      </c>
      <c r="F23" s="11" t="n">
        <v>4.475</v>
      </c>
      <c r="G23" s="12" t="n">
        <v>400</v>
      </c>
      <c r="H23" s="9" t="n">
        <v>0.0108147651394259</v>
      </c>
      <c r="I23" s="9" t="n">
        <v>0.121711441358831</v>
      </c>
      <c r="J23" s="9" t="n">
        <v>0.351628026277086</v>
      </c>
      <c r="K23" s="9" t="n">
        <v>0.515845767224656</v>
      </c>
      <c r="L23" s="9" t="n">
        <f aca="false">SUM(H23:K23)</f>
        <v>1</v>
      </c>
      <c r="M23" s="9" t="n">
        <v>0.323542220744682</v>
      </c>
      <c r="N23" s="9" t="n">
        <v>0.360341666666667</v>
      </c>
      <c r="O23" s="9" t="n">
        <v>0.676457779255318</v>
      </c>
      <c r="P23" s="9" t="n">
        <f aca="false">M23+O23</f>
        <v>1</v>
      </c>
      <c r="Q23" s="11" t="n">
        <f aca="false">H23/I23</f>
        <v>0.0888557806783477</v>
      </c>
    </row>
    <row r="24" customFormat="false" ht="15" hidden="false" customHeight="false" outlineLevel="0" collapsed="false">
      <c r="A24" s="8" t="n">
        <v>19</v>
      </c>
      <c r="B24" s="8" t="s">
        <v>28</v>
      </c>
      <c r="C24" s="8" t="s">
        <v>24</v>
      </c>
      <c r="D24" s="9" t="n">
        <v>0</v>
      </c>
      <c r="E24" s="10" t="n">
        <v>0.5</v>
      </c>
      <c r="F24" s="11" t="n">
        <v>1.066</v>
      </c>
      <c r="G24" s="12" t="n">
        <v>400</v>
      </c>
      <c r="H24" s="9" t="n">
        <v>0.0385223461801785</v>
      </c>
      <c r="I24" s="9" t="n">
        <v>0.180383952914523</v>
      </c>
      <c r="J24" s="9" t="n">
        <v>0.376858196903363</v>
      </c>
      <c r="K24" s="9" t="n">
        <v>0.404235504001936</v>
      </c>
      <c r="L24" s="9" t="n">
        <f aca="false">SUM(H24:K24)</f>
        <v>1</v>
      </c>
      <c r="M24" s="9" t="n">
        <v>0.151001374312844</v>
      </c>
      <c r="N24" s="9" t="n">
        <v>0.616468253968254</v>
      </c>
      <c r="O24" s="9" t="n">
        <v>0.848998625687156</v>
      </c>
      <c r="P24" s="9" t="n">
        <f aca="false">M24+O24</f>
        <v>1</v>
      </c>
      <c r="Q24" s="11" t="n">
        <f aca="false">H24/I24</f>
        <v>0.2135575008628</v>
      </c>
    </row>
    <row r="25" customFormat="false" ht="15" hidden="false" customHeight="false" outlineLevel="0" collapsed="false">
      <c r="A25" s="8" t="n">
        <v>20</v>
      </c>
      <c r="B25" s="8" t="s">
        <v>28</v>
      </c>
      <c r="C25" s="8" t="s">
        <v>24</v>
      </c>
      <c r="D25" s="9" t="n">
        <v>0</v>
      </c>
      <c r="E25" s="10" t="n">
        <v>1</v>
      </c>
      <c r="F25" s="11" t="n">
        <v>2.238</v>
      </c>
      <c r="G25" s="12" t="n">
        <v>400</v>
      </c>
      <c r="H25" s="9" t="n">
        <v>0.0320776372109467</v>
      </c>
      <c r="I25" s="9" t="n">
        <v>0.1870858562857</v>
      </c>
      <c r="J25" s="9" t="n">
        <v>0.371852186180787</v>
      </c>
      <c r="K25" s="9" t="n">
        <v>0.408984320322567</v>
      </c>
      <c r="L25" s="9" t="n">
        <f aca="false">SUM(H25:K25)</f>
        <v>1</v>
      </c>
      <c r="M25" s="9" t="n">
        <v>0.237105047683268</v>
      </c>
      <c r="N25" s="9" t="n">
        <v>0.616011904761905</v>
      </c>
      <c r="O25" s="9" t="n">
        <v>0.762894952316732</v>
      </c>
      <c r="P25" s="9" t="n">
        <f aca="false">M25+O25</f>
        <v>1</v>
      </c>
      <c r="Q25" s="11" t="n">
        <f aca="false">H25/I25</f>
        <v>0.171459445667345</v>
      </c>
    </row>
    <row r="26" customFormat="false" ht="15" hidden="false" customHeight="false" outlineLevel="0" collapsed="false">
      <c r="A26" s="8" t="n">
        <v>21</v>
      </c>
      <c r="B26" s="8" t="s">
        <v>28</v>
      </c>
      <c r="C26" s="8" t="s">
        <v>24</v>
      </c>
      <c r="D26" s="9" t="n">
        <v>0</v>
      </c>
      <c r="E26" s="10" t="n">
        <v>0.25</v>
      </c>
      <c r="F26" s="11" t="n">
        <v>4.475</v>
      </c>
      <c r="G26" s="12" t="n">
        <v>400</v>
      </c>
      <c r="H26" s="9" t="n">
        <v>0.0404306591892496</v>
      </c>
      <c r="I26" s="9" t="n">
        <v>0.201785323211385</v>
      </c>
      <c r="J26" s="9" t="n">
        <v>0.328611487272644</v>
      </c>
      <c r="K26" s="9" t="n">
        <v>0.429172530326721</v>
      </c>
      <c r="L26" s="9" t="n">
        <f aca="false">SUM(H26:K26)</f>
        <v>1</v>
      </c>
      <c r="M26" s="9" t="n">
        <v>0.250346666666667</v>
      </c>
      <c r="N26" s="9" t="n">
        <v>0.623809523809524</v>
      </c>
      <c r="O26" s="9" t="n">
        <v>0.749653333333333</v>
      </c>
      <c r="P26" s="9" t="n">
        <f aca="false">M26+O26</f>
        <v>1</v>
      </c>
      <c r="Q26" s="11" t="n">
        <f aca="false">H26/I26</f>
        <v>0.200364717045825</v>
      </c>
    </row>
    <row r="27" customFormat="false" ht="15" hidden="false" customHeight="false" outlineLevel="0" collapsed="false">
      <c r="A27" s="8" t="n">
        <v>22</v>
      </c>
      <c r="B27" s="8" t="s">
        <v>28</v>
      </c>
      <c r="C27" s="8" t="s">
        <v>25</v>
      </c>
      <c r="D27" s="9" t="n">
        <v>0</v>
      </c>
      <c r="E27" s="10" t="n">
        <v>0.5</v>
      </c>
      <c r="F27" s="11" t="n">
        <v>1.066</v>
      </c>
      <c r="G27" s="12" t="n">
        <v>400</v>
      </c>
      <c r="H27" s="9" t="n">
        <v>0.0464487807378698</v>
      </c>
      <c r="I27" s="9" t="n">
        <v>0.231770313984693</v>
      </c>
      <c r="J27" s="9" t="n">
        <v>0.416503568438179</v>
      </c>
      <c r="K27" s="9" t="n">
        <v>0.305277336839258</v>
      </c>
      <c r="L27" s="9" t="n">
        <f aca="false">SUM(H27:K27)</f>
        <v>1</v>
      </c>
      <c r="M27" s="9" t="n">
        <v>0.324743075510855</v>
      </c>
      <c r="N27" s="9" t="n">
        <v>0.331944444444444</v>
      </c>
      <c r="O27" s="9" t="n">
        <v>0.675256924489145</v>
      </c>
      <c r="P27" s="9" t="n">
        <f aca="false">M27+O27</f>
        <v>1</v>
      </c>
      <c r="Q27" s="11" t="n">
        <f aca="false">H27/I27</f>
        <v>0.200408671582235</v>
      </c>
    </row>
    <row r="28" customFormat="false" ht="15" hidden="false" customHeight="false" outlineLevel="0" collapsed="false">
      <c r="A28" s="8" t="n">
        <v>23</v>
      </c>
      <c r="B28" s="8" t="s">
        <v>28</v>
      </c>
      <c r="C28" s="8" t="s">
        <v>25</v>
      </c>
      <c r="D28" s="9" t="n">
        <v>0</v>
      </c>
      <c r="E28" s="10" t="n">
        <v>1</v>
      </c>
      <c r="F28" s="11" t="n">
        <v>2.238</v>
      </c>
      <c r="G28" s="12" t="n">
        <v>400</v>
      </c>
      <c r="H28" s="9" t="n">
        <v>0.0373920778550343</v>
      </c>
      <c r="I28" s="9" t="n">
        <v>0.204529345471707</v>
      </c>
      <c r="J28" s="9" t="n">
        <v>0.427604995471277</v>
      </c>
      <c r="K28" s="9" t="n">
        <v>0.330473581201982</v>
      </c>
      <c r="L28" s="9" t="n">
        <f aca="false">SUM(H28:K28)</f>
        <v>1</v>
      </c>
      <c r="M28" s="9" t="n">
        <v>0.330652555598909</v>
      </c>
      <c r="N28" s="9" t="n">
        <v>0.300952380952381</v>
      </c>
      <c r="O28" s="9" t="n">
        <v>0.669347444401092</v>
      </c>
      <c r="P28" s="9" t="n">
        <f aca="false">M28+O28</f>
        <v>1</v>
      </c>
      <c r="Q28" s="11" t="n">
        <f aca="false">H28/I28</f>
        <v>0.182820112042097</v>
      </c>
    </row>
    <row r="29" customFormat="false" ht="15" hidden="false" customHeight="false" outlineLevel="0" collapsed="false">
      <c r="A29" s="8" t="n">
        <v>24</v>
      </c>
      <c r="B29" s="8" t="s">
        <v>28</v>
      </c>
      <c r="C29" s="8" t="s">
        <v>25</v>
      </c>
      <c r="D29" s="9" t="n">
        <v>0</v>
      </c>
      <c r="E29" s="10" t="n">
        <v>0.25</v>
      </c>
      <c r="F29" s="11" t="n">
        <v>4.475</v>
      </c>
      <c r="G29" s="12" t="n">
        <v>400</v>
      </c>
      <c r="H29" s="9" t="n">
        <v>0.0289475911505139</v>
      </c>
      <c r="I29" s="9" t="n">
        <v>0.209252994367592</v>
      </c>
      <c r="J29" s="9" t="n">
        <v>0.416317449582653</v>
      </c>
      <c r="K29" s="9" t="n">
        <v>0.345481964899241</v>
      </c>
      <c r="L29" s="9" t="n">
        <f aca="false">SUM(H29:K29)</f>
        <v>1</v>
      </c>
      <c r="M29" s="9" t="n">
        <v>0.300931755225384</v>
      </c>
      <c r="N29" s="9" t="n">
        <v>0.276190476190476</v>
      </c>
      <c r="O29" s="9" t="n">
        <v>0.699068244774616</v>
      </c>
      <c r="P29" s="9" t="n">
        <f aca="false">M29+O29</f>
        <v>1</v>
      </c>
      <c r="Q29" s="11" t="n">
        <f aca="false">H29/I29</f>
        <v>0.138337763041336</v>
      </c>
    </row>
    <row r="30" customFormat="false" ht="15" hidden="false" customHeight="false" outlineLevel="0" collapsed="false">
      <c r="A30" s="8" t="n">
        <v>25</v>
      </c>
      <c r="B30" s="8" t="s">
        <v>28</v>
      </c>
      <c r="C30" s="8" t="s">
        <v>26</v>
      </c>
      <c r="D30" s="9" t="n">
        <v>0</v>
      </c>
      <c r="E30" s="10" t="n">
        <v>0.5</v>
      </c>
      <c r="F30" s="11" t="n">
        <v>1.066</v>
      </c>
      <c r="G30" s="12" t="n">
        <v>400</v>
      </c>
      <c r="H30" s="9" t="n">
        <v>0.0230451862691926</v>
      </c>
      <c r="I30" s="9" t="n">
        <v>0.165150451643066</v>
      </c>
      <c r="J30" s="9" t="n">
        <v>0.358490883442465</v>
      </c>
      <c r="K30" s="9" t="n">
        <v>0.453313478645276</v>
      </c>
      <c r="L30" s="9" t="n">
        <f aca="false">SUM(H30:K30)</f>
        <v>1</v>
      </c>
      <c r="M30" s="9" t="n">
        <v>0.324743075510855</v>
      </c>
      <c r="N30" s="9" t="n">
        <v>0.331944444444444</v>
      </c>
      <c r="O30" s="9" t="n">
        <v>0.675256924489145</v>
      </c>
      <c r="P30" s="9" t="n">
        <f aca="false">M30+O30</f>
        <v>1</v>
      </c>
      <c r="Q30" s="11" t="n">
        <f aca="false">H30/I30</f>
        <v>0.139540558562924</v>
      </c>
    </row>
    <row r="31" customFormat="false" ht="15" hidden="false" customHeight="false" outlineLevel="0" collapsed="false">
      <c r="A31" s="8" t="n">
        <v>26</v>
      </c>
      <c r="B31" s="8" t="s">
        <v>28</v>
      </c>
      <c r="C31" s="8" t="s">
        <v>26</v>
      </c>
      <c r="D31" s="9" t="n">
        <v>0</v>
      </c>
      <c r="E31" s="10" t="n">
        <v>1</v>
      </c>
      <c r="F31" s="11" t="n">
        <v>2.238</v>
      </c>
      <c r="G31" s="12" t="n">
        <v>400</v>
      </c>
      <c r="H31" s="9" t="n">
        <v>0.0144731950793887</v>
      </c>
      <c r="I31" s="9" t="n">
        <v>0.139819939161203</v>
      </c>
      <c r="J31" s="9" t="n">
        <v>0.350234697093775</v>
      </c>
      <c r="K31" s="9" t="n">
        <v>0.495472168665633</v>
      </c>
      <c r="L31" s="9" t="n">
        <f aca="false">SUM(H31:K31)</f>
        <v>1</v>
      </c>
      <c r="M31" s="9" t="n">
        <v>0.330652555598909</v>
      </c>
      <c r="N31" s="9" t="n">
        <v>0.300952380952381</v>
      </c>
      <c r="O31" s="9" t="n">
        <v>0.669347444401092</v>
      </c>
      <c r="P31" s="9" t="n">
        <f aca="false">M31+O31</f>
        <v>1</v>
      </c>
      <c r="Q31" s="11" t="n">
        <f aca="false">H31/I31</f>
        <v>0.103513098104714</v>
      </c>
    </row>
    <row r="32" customFormat="false" ht="15" hidden="false" customHeight="false" outlineLevel="0" collapsed="false">
      <c r="A32" s="8" t="n">
        <v>27</v>
      </c>
      <c r="B32" s="8" t="s">
        <v>28</v>
      </c>
      <c r="C32" s="8" t="s">
        <v>26</v>
      </c>
      <c r="D32" s="9" t="n">
        <v>0</v>
      </c>
      <c r="E32" s="10" t="n">
        <v>0.25</v>
      </c>
      <c r="F32" s="11" t="n">
        <v>4.475</v>
      </c>
      <c r="G32" s="12" t="n">
        <v>400</v>
      </c>
      <c r="H32" s="9" t="n">
        <v>0.0343527059854946</v>
      </c>
      <c r="I32" s="9" t="n">
        <v>0.158402844531754</v>
      </c>
      <c r="J32" s="9" t="n">
        <v>0.357296378707126</v>
      </c>
      <c r="K32" s="9" t="n">
        <v>0.449948070775626</v>
      </c>
      <c r="L32" s="9" t="n">
        <f aca="false">SUM(H32:K32)</f>
        <v>1</v>
      </c>
      <c r="M32" s="9" t="n">
        <v>0.300931755225384</v>
      </c>
      <c r="N32" s="9" t="n">
        <v>0.276190476190476</v>
      </c>
      <c r="O32" s="9" t="n">
        <v>0.699068244774616</v>
      </c>
      <c r="P32" s="9" t="n">
        <f aca="false">M32+O32</f>
        <v>1</v>
      </c>
      <c r="Q32" s="11" t="n">
        <f aca="false">H32/I32</f>
        <v>0.216869249330987</v>
      </c>
    </row>
    <row r="33" customFormat="false" ht="15" hidden="false" customHeight="false" outlineLevel="0" collapsed="false">
      <c r="A33" s="8" t="n">
        <v>28</v>
      </c>
      <c r="B33" s="8" t="s">
        <v>23</v>
      </c>
      <c r="C33" s="8" t="s">
        <v>24</v>
      </c>
      <c r="D33" s="9" t="n">
        <v>0.05</v>
      </c>
      <c r="E33" s="10" t="n">
        <v>0.25</v>
      </c>
      <c r="F33" s="11" t="n">
        <v>1.066</v>
      </c>
      <c r="G33" s="12" t="n">
        <v>600</v>
      </c>
      <c r="H33" s="9" t="n">
        <v>0.206538148540019</v>
      </c>
      <c r="I33" s="9" t="n">
        <v>0.21046070521038</v>
      </c>
      <c r="J33" s="9" t="n">
        <v>0.281128025173289</v>
      </c>
      <c r="K33" s="9" t="n">
        <v>0.301873121076312</v>
      </c>
      <c r="L33" s="9" t="n">
        <f aca="false">SUM(H33:K33)</f>
        <v>1</v>
      </c>
      <c r="M33" s="9" t="n">
        <v>0.173189206068729</v>
      </c>
      <c r="N33" s="9" t="n">
        <v>0.666132142857143</v>
      </c>
      <c r="O33" s="9" t="n">
        <v>0.826810793931271</v>
      </c>
      <c r="P33" s="9" t="n">
        <f aca="false">M33+O33</f>
        <v>1</v>
      </c>
      <c r="Q33" s="11" t="n">
        <f aca="false">H33/I33</f>
        <v>0.981362047293153</v>
      </c>
    </row>
    <row r="34" customFormat="false" ht="15" hidden="false" customHeight="false" outlineLevel="0" collapsed="false">
      <c r="A34" s="8" t="n">
        <v>29</v>
      </c>
      <c r="B34" s="8" t="s">
        <v>23</v>
      </c>
      <c r="C34" s="8" t="s">
        <v>24</v>
      </c>
      <c r="D34" s="9" t="n">
        <v>0.05</v>
      </c>
      <c r="E34" s="10" t="n">
        <v>0.5</v>
      </c>
      <c r="F34" s="11" t="n">
        <v>2.238</v>
      </c>
      <c r="G34" s="12" t="n">
        <v>600</v>
      </c>
      <c r="H34" s="9" t="n">
        <v>0.187963600987109</v>
      </c>
      <c r="I34" s="9" t="n">
        <v>0.130305486636299</v>
      </c>
      <c r="J34" s="9" t="n">
        <v>0.309289505634684</v>
      </c>
      <c r="K34" s="9" t="n">
        <v>0.372441406741909</v>
      </c>
      <c r="L34" s="9" t="n">
        <f aca="false">SUM(H34:K34)</f>
        <v>1</v>
      </c>
      <c r="M34" s="9" t="n">
        <v>0.348382352941178</v>
      </c>
      <c r="N34" s="9" t="n">
        <v>0.485828571428571</v>
      </c>
      <c r="O34" s="9" t="n">
        <v>0.651617647058822</v>
      </c>
      <c r="P34" s="9" t="n">
        <f aca="false">M34+O34</f>
        <v>1</v>
      </c>
      <c r="Q34" s="11" t="n">
        <f aca="false">H34/I34</f>
        <v>1.44248416424507</v>
      </c>
    </row>
    <row r="35" customFormat="false" ht="15" hidden="false" customHeight="false" outlineLevel="0" collapsed="false">
      <c r="A35" s="8" t="n">
        <v>30</v>
      </c>
      <c r="B35" s="8" t="s">
        <v>23</v>
      </c>
      <c r="C35" s="8" t="s">
        <v>24</v>
      </c>
      <c r="D35" s="9" t="n">
        <v>0.05</v>
      </c>
      <c r="E35" s="10" t="n">
        <v>1</v>
      </c>
      <c r="F35" s="11" t="n">
        <v>4.475</v>
      </c>
      <c r="G35" s="12" t="n">
        <v>600</v>
      </c>
      <c r="H35" s="9" t="n">
        <v>0.231873946363669</v>
      </c>
      <c r="I35" s="9" t="n">
        <v>0.125431578108417</v>
      </c>
      <c r="J35" s="9" t="n">
        <v>0.309618853798512</v>
      </c>
      <c r="K35" s="9" t="n">
        <v>0.333075621729401</v>
      </c>
      <c r="L35" s="9" t="n">
        <f aca="false">SUM(H35:K35)</f>
        <v>1</v>
      </c>
      <c r="M35" s="9" t="n">
        <v>0.374461135611907</v>
      </c>
      <c r="N35" s="9" t="n">
        <v>0.467846428571429</v>
      </c>
      <c r="O35" s="9" t="n">
        <v>0.625538864388093</v>
      </c>
      <c r="P35" s="9" t="n">
        <f aca="false">M35+O35</f>
        <v>1</v>
      </c>
      <c r="Q35" s="11" t="n">
        <f aca="false">H35/I35</f>
        <v>1.84860901744574</v>
      </c>
    </row>
    <row r="36" customFormat="false" ht="15" hidden="false" customHeight="false" outlineLevel="0" collapsed="false">
      <c r="A36" s="8" t="n">
        <v>31</v>
      </c>
      <c r="B36" s="8" t="s">
        <v>23</v>
      </c>
      <c r="C36" s="8" t="s">
        <v>25</v>
      </c>
      <c r="D36" s="9" t="n">
        <v>0.05</v>
      </c>
      <c r="E36" s="10" t="n">
        <v>0.25</v>
      </c>
      <c r="F36" s="11" t="n">
        <v>1.066</v>
      </c>
      <c r="G36" s="12" t="n">
        <v>600</v>
      </c>
      <c r="H36" s="9" t="n">
        <v>0.181957515110465</v>
      </c>
      <c r="I36" s="9" t="n">
        <v>0.212710619810308</v>
      </c>
      <c r="J36" s="9" t="n">
        <v>0.317507304142446</v>
      </c>
      <c r="K36" s="9" t="n">
        <v>0.287824560936781</v>
      </c>
      <c r="L36" s="9" t="n">
        <f aca="false">SUM(H36:K36)</f>
        <v>1</v>
      </c>
      <c r="M36" s="9" t="n">
        <v>0.173189206068729</v>
      </c>
      <c r="N36" s="9" t="n">
        <v>0.666132142857143</v>
      </c>
      <c r="O36" s="9" t="n">
        <v>0.826810793931271</v>
      </c>
      <c r="P36" s="9" t="n">
        <f aca="false">M36+O36</f>
        <v>1</v>
      </c>
      <c r="Q36" s="11" t="n">
        <f aca="false">H36/I36</f>
        <v>0.855422805277575</v>
      </c>
    </row>
    <row r="37" customFormat="false" ht="15" hidden="false" customHeight="false" outlineLevel="0" collapsed="false">
      <c r="A37" s="8" t="n">
        <v>32</v>
      </c>
      <c r="B37" s="8" t="s">
        <v>23</v>
      </c>
      <c r="C37" s="8" t="s">
        <v>25</v>
      </c>
      <c r="D37" s="9" t="n">
        <v>0.05</v>
      </c>
      <c r="E37" s="10" t="n">
        <v>0.5</v>
      </c>
      <c r="F37" s="11" t="n">
        <v>2.238</v>
      </c>
      <c r="G37" s="12" t="n">
        <v>600</v>
      </c>
      <c r="H37" s="9" t="n">
        <v>0.177291119243719</v>
      </c>
      <c r="I37" s="9" t="n">
        <v>0.19700000712892</v>
      </c>
      <c r="J37" s="9" t="n">
        <v>0.336319437484178</v>
      </c>
      <c r="K37" s="9" t="n">
        <v>0.289389436143184</v>
      </c>
      <c r="L37" s="9" t="n">
        <f aca="false">SUM(H37:K37)</f>
        <v>1</v>
      </c>
      <c r="M37" s="9" t="n">
        <v>0.348382352941178</v>
      </c>
      <c r="N37" s="9" t="n">
        <v>0.485828571428571</v>
      </c>
      <c r="O37" s="9" t="n">
        <v>0.651617647058822</v>
      </c>
      <c r="P37" s="9" t="n">
        <f aca="false">M37+O37</f>
        <v>1</v>
      </c>
      <c r="Q37" s="11" t="n">
        <f aca="false">H37/I37</f>
        <v>0.89995488745184</v>
      </c>
    </row>
    <row r="38" customFormat="false" ht="15" hidden="false" customHeight="false" outlineLevel="0" collapsed="false">
      <c r="A38" s="8" t="n">
        <v>33</v>
      </c>
      <c r="B38" s="8" t="s">
        <v>23</v>
      </c>
      <c r="C38" s="8" t="s">
        <v>25</v>
      </c>
      <c r="D38" s="9" t="n">
        <v>0.05</v>
      </c>
      <c r="E38" s="10" t="n">
        <v>1</v>
      </c>
      <c r="F38" s="11" t="n">
        <v>4.475</v>
      </c>
      <c r="G38" s="12" t="n">
        <v>600</v>
      </c>
      <c r="H38" s="9" t="n">
        <v>0.193138683618062</v>
      </c>
      <c r="I38" s="9" t="n">
        <v>0.206771846969093</v>
      </c>
      <c r="J38" s="9" t="n">
        <v>0.308450426867523</v>
      </c>
      <c r="K38" s="9" t="n">
        <v>0.291639042545323</v>
      </c>
      <c r="L38" s="9" t="n">
        <f aca="false">SUM(H38:K38)</f>
        <v>1</v>
      </c>
      <c r="M38" s="9" t="n">
        <v>0.374461135611907</v>
      </c>
      <c r="N38" s="9" t="n">
        <v>0.467846428571429</v>
      </c>
      <c r="O38" s="9" t="n">
        <v>0.625538864388093</v>
      </c>
      <c r="P38" s="9" t="n">
        <f aca="false">M38+O38</f>
        <v>1</v>
      </c>
      <c r="Q38" s="11" t="n">
        <f aca="false">H38/I38</f>
        <v>0.934066636484276</v>
      </c>
    </row>
    <row r="39" customFormat="false" ht="15" hidden="false" customHeight="false" outlineLevel="0" collapsed="false">
      <c r="A39" s="8" t="n">
        <v>34</v>
      </c>
      <c r="B39" s="8" t="s">
        <v>23</v>
      </c>
      <c r="C39" s="8" t="s">
        <v>26</v>
      </c>
      <c r="D39" s="9" t="n">
        <v>0.05</v>
      </c>
      <c r="E39" s="10" t="n">
        <v>0.25</v>
      </c>
      <c r="F39" s="11" t="n">
        <v>1.066</v>
      </c>
      <c r="G39" s="12" t="n">
        <v>600</v>
      </c>
      <c r="H39" s="9" t="n">
        <v>0.193072893621395</v>
      </c>
      <c r="I39" s="9" t="n">
        <v>0.196053004399596</v>
      </c>
      <c r="J39" s="9" t="n">
        <v>0.31331852621855</v>
      </c>
      <c r="K39" s="9" t="n">
        <v>0.297555575760459</v>
      </c>
      <c r="L39" s="9" t="n">
        <f aca="false">SUM(H39:K39)</f>
        <v>1</v>
      </c>
      <c r="M39" s="9" t="n">
        <v>0.173189206068729</v>
      </c>
      <c r="N39" s="9" t="n">
        <v>0.666132142857143</v>
      </c>
      <c r="O39" s="9" t="n">
        <v>0.826810793931271</v>
      </c>
      <c r="P39" s="9" t="n">
        <f aca="false">M39+O39</f>
        <v>1</v>
      </c>
      <c r="Q39" s="11" t="n">
        <f aca="false">H39/I39</f>
        <v>0.98479946386271</v>
      </c>
    </row>
    <row r="40" customFormat="false" ht="15" hidden="false" customHeight="false" outlineLevel="0" collapsed="false">
      <c r="A40" s="8" t="n">
        <v>35</v>
      </c>
      <c r="B40" s="8" t="s">
        <v>23</v>
      </c>
      <c r="C40" s="8" t="s">
        <v>26</v>
      </c>
      <c r="D40" s="9" t="n">
        <v>0.05</v>
      </c>
      <c r="E40" s="10" t="n">
        <v>0.5</v>
      </c>
      <c r="F40" s="11" t="n">
        <v>2.238</v>
      </c>
      <c r="G40" s="12" t="n">
        <v>600</v>
      </c>
      <c r="H40" s="9" t="n">
        <v>0.207401206320685</v>
      </c>
      <c r="I40" s="9" t="n">
        <v>0.191661889566956</v>
      </c>
      <c r="J40" s="9" t="n">
        <v>0.334455274650954</v>
      </c>
      <c r="K40" s="9" t="n">
        <v>0.266481629461405</v>
      </c>
      <c r="L40" s="9" t="n">
        <f aca="false">SUM(H40:K40)</f>
        <v>1</v>
      </c>
      <c r="M40" s="9" t="n">
        <v>0.348382352941178</v>
      </c>
      <c r="N40" s="9" t="n">
        <v>0.485828571428571</v>
      </c>
      <c r="O40" s="9" t="n">
        <v>0.651617647058822</v>
      </c>
      <c r="P40" s="9" t="n">
        <f aca="false">M40+O40</f>
        <v>1</v>
      </c>
      <c r="Q40" s="11" t="n">
        <f aca="false">H40/I40</f>
        <v>1.08212022113155</v>
      </c>
    </row>
    <row r="41" customFormat="false" ht="15" hidden="false" customHeight="false" outlineLevel="0" collapsed="false">
      <c r="A41" s="8" t="n">
        <v>36</v>
      </c>
      <c r="B41" s="8" t="s">
        <v>23</v>
      </c>
      <c r="C41" s="8" t="s">
        <v>26</v>
      </c>
      <c r="D41" s="9" t="n">
        <v>0.05</v>
      </c>
      <c r="E41" s="10" t="n">
        <v>1</v>
      </c>
      <c r="F41" s="11" t="n">
        <v>4.475</v>
      </c>
      <c r="G41" s="12" t="n">
        <v>600</v>
      </c>
      <c r="H41" s="9" t="n">
        <v>0.199295795851061</v>
      </c>
      <c r="I41" s="9" t="n">
        <v>0.182568176883947</v>
      </c>
      <c r="J41" s="9" t="n">
        <v>0.330430459598327</v>
      </c>
      <c r="K41" s="9" t="n">
        <v>0.287705567666665</v>
      </c>
      <c r="L41" s="9" t="n">
        <f aca="false">SUM(H41:K41)</f>
        <v>1</v>
      </c>
      <c r="M41" s="9" t="n">
        <v>0.374461135611907</v>
      </c>
      <c r="N41" s="9" t="n">
        <v>0.467846428571429</v>
      </c>
      <c r="O41" s="9" t="n">
        <v>0.625538864388093</v>
      </c>
      <c r="P41" s="9" t="n">
        <f aca="false">M41+O41</f>
        <v>1</v>
      </c>
      <c r="Q41" s="11" t="n">
        <f aca="false">H41/I41</f>
        <v>1.09162395797898</v>
      </c>
    </row>
    <row r="42" customFormat="false" ht="15" hidden="false" customHeight="false" outlineLevel="0" collapsed="false">
      <c r="A42" s="8" t="n">
        <v>37</v>
      </c>
      <c r="B42" s="8" t="s">
        <v>27</v>
      </c>
      <c r="C42" s="8" t="s">
        <v>24</v>
      </c>
      <c r="D42" s="9" t="n">
        <v>0.1</v>
      </c>
      <c r="E42" s="10" t="n">
        <v>0.25</v>
      </c>
      <c r="F42" s="11" t="n">
        <v>1.066</v>
      </c>
      <c r="G42" s="12" t="n">
        <v>600</v>
      </c>
      <c r="H42" s="9" t="n">
        <v>0.223793672049392</v>
      </c>
      <c r="I42" s="9" t="n">
        <v>0.265706035681089</v>
      </c>
      <c r="J42" s="9" t="n">
        <v>0.250382293265236</v>
      </c>
      <c r="K42" s="9" t="n">
        <v>0.260117999004283</v>
      </c>
      <c r="L42" s="9" t="n">
        <f aca="false">SUM(H42:K42)</f>
        <v>1</v>
      </c>
      <c r="M42" s="9" t="n">
        <v>0.41248297537978</v>
      </c>
      <c r="N42" s="9" t="n">
        <v>0.238667857142857</v>
      </c>
      <c r="O42" s="9" t="n">
        <v>0.58751702462022</v>
      </c>
      <c r="P42" s="9" t="n">
        <f aca="false">M42+O42</f>
        <v>1</v>
      </c>
      <c r="Q42" s="11" t="n">
        <f aca="false">H42/I42</f>
        <v>0.842260400580428</v>
      </c>
    </row>
    <row r="43" customFormat="false" ht="15" hidden="false" customHeight="false" outlineLevel="0" collapsed="false">
      <c r="A43" s="8" t="n">
        <v>38</v>
      </c>
      <c r="B43" s="8" t="s">
        <v>27</v>
      </c>
      <c r="C43" s="8" t="s">
        <v>24</v>
      </c>
      <c r="D43" s="9" t="n">
        <v>0.1</v>
      </c>
      <c r="E43" s="10" t="n">
        <v>0.5</v>
      </c>
      <c r="F43" s="11" t="n">
        <v>2.238</v>
      </c>
      <c r="G43" s="12" t="n">
        <v>600</v>
      </c>
      <c r="H43" s="9" t="n">
        <v>0.213119092711316</v>
      </c>
      <c r="I43" s="9" t="n">
        <v>0.296132344972548</v>
      </c>
      <c r="J43" s="9" t="n">
        <v>0.274272444551436</v>
      </c>
      <c r="K43" s="9" t="n">
        <v>0.216476117764701</v>
      </c>
      <c r="L43" s="9" t="n">
        <f aca="false">SUM(H43:K43)</f>
        <v>1</v>
      </c>
      <c r="M43" s="9" t="n">
        <v>0.448094390753557</v>
      </c>
      <c r="N43" s="9" t="n">
        <v>0.23767619047619</v>
      </c>
      <c r="O43" s="9" t="n">
        <v>0.551905609246443</v>
      </c>
      <c r="P43" s="9" t="n">
        <f aca="false">M43+O43</f>
        <v>1</v>
      </c>
      <c r="Q43" s="11" t="n">
        <f aca="false">H43/I43</f>
        <v>0.719675159871754</v>
      </c>
    </row>
    <row r="44" customFormat="false" ht="15" hidden="false" customHeight="false" outlineLevel="0" collapsed="false">
      <c r="A44" s="8" t="n">
        <v>39</v>
      </c>
      <c r="B44" s="8" t="s">
        <v>27</v>
      </c>
      <c r="C44" s="8" t="s">
        <v>24</v>
      </c>
      <c r="D44" s="9" t="n">
        <v>0.1</v>
      </c>
      <c r="E44" s="10" t="n">
        <v>1</v>
      </c>
      <c r="F44" s="11" t="n">
        <v>4.475</v>
      </c>
      <c r="G44" s="12" t="n">
        <v>600</v>
      </c>
      <c r="H44" s="9" t="n">
        <v>0.252817555636444</v>
      </c>
      <c r="I44" s="9" t="n">
        <v>0.286979486448236</v>
      </c>
      <c r="J44" s="9" t="n">
        <v>0.239166744332293</v>
      </c>
      <c r="K44" s="9" t="n">
        <v>0.221036213583028</v>
      </c>
      <c r="L44" s="9" t="n">
        <f aca="false">SUM(H44:K44)</f>
        <v>1</v>
      </c>
      <c r="M44" s="9" t="n">
        <v>0.420239158163264</v>
      </c>
      <c r="N44" s="9" t="n">
        <v>0.328121428571428</v>
      </c>
      <c r="O44" s="9" t="n">
        <v>0.579760841836736</v>
      </c>
      <c r="P44" s="9" t="n">
        <f aca="false">M44+O44</f>
        <v>1</v>
      </c>
      <c r="Q44" s="11" t="n">
        <f aca="false">H44/I44</f>
        <v>0.880960373737537</v>
      </c>
    </row>
    <row r="45" customFormat="false" ht="15" hidden="false" customHeight="false" outlineLevel="0" collapsed="false">
      <c r="A45" s="8" t="n">
        <v>40</v>
      </c>
      <c r="B45" s="8" t="s">
        <v>27</v>
      </c>
      <c r="C45" s="8" t="s">
        <v>24</v>
      </c>
      <c r="D45" s="9" t="n">
        <v>0.05</v>
      </c>
      <c r="E45" s="10" t="n">
        <v>1</v>
      </c>
      <c r="F45" s="11" t="n">
        <v>2.238</v>
      </c>
      <c r="G45" s="12" t="n">
        <v>600</v>
      </c>
      <c r="H45" s="9" t="n">
        <v>0.281459789234304</v>
      </c>
      <c r="I45" s="9" t="n">
        <v>0.221523238395926</v>
      </c>
      <c r="J45" s="9" t="n">
        <v>0.266262448753452</v>
      </c>
      <c r="K45" s="9" t="n">
        <v>0.230754523616317</v>
      </c>
      <c r="L45" s="9" t="n">
        <f aca="false">SUM(H45:K45)</f>
        <v>1</v>
      </c>
      <c r="M45" s="9" t="n">
        <v>0.374541621572872</v>
      </c>
      <c r="N45" s="9" t="n">
        <v>0.305721428571429</v>
      </c>
      <c r="O45" s="9" t="n">
        <v>0.625458378427128</v>
      </c>
      <c r="P45" s="9" t="n">
        <f aca="false">M45+O45</f>
        <v>1</v>
      </c>
      <c r="Q45" s="11" t="n">
        <f aca="false">H45/I45</f>
        <v>1.27056552293287</v>
      </c>
    </row>
    <row r="46" customFormat="false" ht="15" hidden="false" customHeight="false" outlineLevel="0" collapsed="false">
      <c r="A46" s="8" t="n">
        <v>41</v>
      </c>
      <c r="B46" s="8" t="s">
        <v>27</v>
      </c>
      <c r="C46" s="8" t="s">
        <v>25</v>
      </c>
      <c r="D46" s="9" t="n">
        <v>0.1</v>
      </c>
      <c r="E46" s="10" t="n">
        <v>0.25</v>
      </c>
      <c r="F46" s="11" t="n">
        <v>1.066</v>
      </c>
      <c r="G46" s="12" t="n">
        <v>600</v>
      </c>
      <c r="H46" s="9" t="n">
        <v>0.222084457785612</v>
      </c>
      <c r="I46" s="9" t="n">
        <v>0.271895556913627</v>
      </c>
      <c r="J46" s="9" t="n">
        <v>0.327042690539917</v>
      </c>
      <c r="K46" s="9" t="n">
        <v>0.178977294760845</v>
      </c>
      <c r="L46" s="9" t="n">
        <f aca="false">SUM(H46:K46)</f>
        <v>1</v>
      </c>
      <c r="M46" s="9" t="n">
        <v>0.41248297537978</v>
      </c>
      <c r="N46" s="9" t="n">
        <v>0.238667857142857</v>
      </c>
      <c r="O46" s="9" t="n">
        <v>0.58751702462022</v>
      </c>
      <c r="P46" s="9" t="n">
        <f aca="false">M46+O46</f>
        <v>1</v>
      </c>
      <c r="Q46" s="11" t="n">
        <f aca="false">H46/I46</f>
        <v>0.816800613833354</v>
      </c>
    </row>
    <row r="47" customFormat="false" ht="15" hidden="false" customHeight="false" outlineLevel="0" collapsed="false">
      <c r="A47" s="8" t="n">
        <v>42</v>
      </c>
      <c r="B47" s="8" t="s">
        <v>27</v>
      </c>
      <c r="C47" s="8" t="s">
        <v>25</v>
      </c>
      <c r="D47" s="9" t="n">
        <v>0.1</v>
      </c>
      <c r="E47" s="10" t="n">
        <v>0.5</v>
      </c>
      <c r="F47" s="11" t="n">
        <v>2.238</v>
      </c>
      <c r="G47" s="12" t="n">
        <v>600</v>
      </c>
      <c r="H47" s="9" t="n">
        <v>0.161232327409298</v>
      </c>
      <c r="I47" s="9" t="n">
        <v>0.29551625735065</v>
      </c>
      <c r="J47" s="9" t="n">
        <v>0.336364773794763</v>
      </c>
      <c r="K47" s="9" t="n">
        <v>0.20688664144529</v>
      </c>
      <c r="L47" s="9" t="n">
        <f aca="false">SUM(H47:K47)</f>
        <v>1</v>
      </c>
      <c r="M47" s="9" t="n">
        <v>0.448094390753557</v>
      </c>
      <c r="N47" s="9" t="n">
        <v>0.23767619047619</v>
      </c>
      <c r="O47" s="9" t="n">
        <v>0.551905609246443</v>
      </c>
      <c r="P47" s="9" t="n">
        <f aca="false">M47+O47</f>
        <v>1</v>
      </c>
      <c r="Q47" s="11" t="n">
        <f aca="false">H47/I47</f>
        <v>0.545595456760218</v>
      </c>
    </row>
    <row r="48" customFormat="false" ht="15" hidden="false" customHeight="false" outlineLevel="0" collapsed="false">
      <c r="A48" s="8" t="n">
        <v>43</v>
      </c>
      <c r="B48" s="8" t="s">
        <v>27</v>
      </c>
      <c r="C48" s="8" t="s">
        <v>25</v>
      </c>
      <c r="D48" s="9" t="n">
        <v>0.1</v>
      </c>
      <c r="E48" s="10" t="n">
        <v>1</v>
      </c>
      <c r="F48" s="11" t="n">
        <v>4.475</v>
      </c>
      <c r="G48" s="12" t="n">
        <v>600</v>
      </c>
      <c r="H48" s="9" t="n">
        <v>0.16896979125507</v>
      </c>
      <c r="I48" s="9" t="n">
        <v>0.316824932787465</v>
      </c>
      <c r="J48" s="9" t="n">
        <v>0.331858963974964</v>
      </c>
      <c r="K48" s="9" t="n">
        <v>0.1823463119825</v>
      </c>
      <c r="L48" s="9" t="n">
        <f aca="false">SUM(H48:K48)</f>
        <v>1</v>
      </c>
      <c r="M48" s="9" t="n">
        <v>0.420239158163264</v>
      </c>
      <c r="N48" s="9" t="n">
        <v>0.328121428571428</v>
      </c>
      <c r="O48" s="9" t="n">
        <v>0.579760841836736</v>
      </c>
      <c r="P48" s="9" t="n">
        <f aca="false">M48+O48</f>
        <v>1</v>
      </c>
      <c r="Q48" s="11" t="n">
        <f aca="false">H48/I48</f>
        <v>0.533322266554127</v>
      </c>
    </row>
    <row r="49" customFormat="false" ht="15" hidden="false" customHeight="false" outlineLevel="0" collapsed="false">
      <c r="A49" s="8" t="n">
        <v>44</v>
      </c>
      <c r="B49" s="8" t="s">
        <v>27</v>
      </c>
      <c r="C49" s="8" t="s">
        <v>26</v>
      </c>
      <c r="D49" s="9" t="n">
        <v>0.1</v>
      </c>
      <c r="E49" s="10" t="n">
        <v>0.25</v>
      </c>
      <c r="F49" s="11" t="n">
        <v>1.066</v>
      </c>
      <c r="G49" s="12" t="n">
        <v>600</v>
      </c>
      <c r="H49" s="9" t="n">
        <v>0.14336498493826</v>
      </c>
      <c r="I49" s="9" t="n">
        <v>0.193843146966738</v>
      </c>
      <c r="J49" s="9" t="n">
        <v>0.327131951986457</v>
      </c>
      <c r="K49" s="9" t="n">
        <v>0.335659916108546</v>
      </c>
      <c r="L49" s="9" t="n">
        <f aca="false">SUM(H49:K49)</f>
        <v>1</v>
      </c>
      <c r="M49" s="9" t="n">
        <v>0.41248297537978</v>
      </c>
      <c r="N49" s="9" t="n">
        <v>0.238667857142857</v>
      </c>
      <c r="O49" s="9" t="n">
        <v>0.58751702462022</v>
      </c>
      <c r="P49" s="9" t="n">
        <f aca="false">M49+O49</f>
        <v>1</v>
      </c>
      <c r="Q49" s="11" t="n">
        <f aca="false">H49/I49</f>
        <v>0.73959274383252</v>
      </c>
    </row>
    <row r="50" customFormat="false" ht="15" hidden="false" customHeight="false" outlineLevel="0" collapsed="false">
      <c r="A50" s="8" t="n">
        <v>45</v>
      </c>
      <c r="B50" s="8" t="s">
        <v>27</v>
      </c>
      <c r="C50" s="8" t="s">
        <v>26</v>
      </c>
      <c r="D50" s="9" t="n">
        <v>0.1</v>
      </c>
      <c r="E50" s="10" t="n">
        <v>0.5</v>
      </c>
      <c r="F50" s="11" t="n">
        <v>2.238</v>
      </c>
      <c r="G50" s="12" t="n">
        <v>600</v>
      </c>
      <c r="H50" s="9" t="n">
        <v>0.151935207436179</v>
      </c>
      <c r="I50" s="9" t="n">
        <v>0.174559628328327</v>
      </c>
      <c r="J50" s="9" t="n">
        <v>0.318170768373176</v>
      </c>
      <c r="K50" s="9" t="n">
        <v>0.355334395862318</v>
      </c>
      <c r="L50" s="9" t="n">
        <f aca="false">SUM(H50:K50)</f>
        <v>1</v>
      </c>
      <c r="M50" s="9" t="n">
        <v>0.448094390753557</v>
      </c>
      <c r="N50" s="9" t="n">
        <v>0.23767619047619</v>
      </c>
      <c r="O50" s="9" t="n">
        <v>0.551905609246443</v>
      </c>
      <c r="P50" s="9" t="n">
        <f aca="false">M50+O50</f>
        <v>1</v>
      </c>
      <c r="Q50" s="11" t="n">
        <f aca="false">H50/I50</f>
        <v>0.870391446700416</v>
      </c>
    </row>
    <row r="51" customFormat="false" ht="15" hidden="false" customHeight="false" outlineLevel="0" collapsed="false">
      <c r="A51" s="8" t="n">
        <v>46</v>
      </c>
      <c r="B51" s="8" t="s">
        <v>27</v>
      </c>
      <c r="C51" s="8" t="s">
        <v>26</v>
      </c>
      <c r="D51" s="9" t="n">
        <v>0.1</v>
      </c>
      <c r="E51" s="10" t="n">
        <v>1</v>
      </c>
      <c r="F51" s="11" t="n">
        <v>4.475</v>
      </c>
      <c r="G51" s="12" t="n">
        <v>600</v>
      </c>
      <c r="H51" s="9" t="n">
        <v>0.161610757081646</v>
      </c>
      <c r="I51" s="9" t="n">
        <v>0.187945468496605</v>
      </c>
      <c r="J51" s="9" t="n">
        <v>0.324410725494098</v>
      </c>
      <c r="K51" s="9" t="n">
        <v>0.326033048927651</v>
      </c>
      <c r="L51" s="9" t="n">
        <f aca="false">SUM(H51:K51)</f>
        <v>1</v>
      </c>
      <c r="M51" s="9" t="n">
        <v>0.420239158163264</v>
      </c>
      <c r="N51" s="9" t="n">
        <v>0.328121428571428</v>
      </c>
      <c r="O51" s="9" t="n">
        <v>0.579760841836736</v>
      </c>
      <c r="P51" s="9" t="n">
        <f aca="false">M51+O51</f>
        <v>1</v>
      </c>
      <c r="Q51" s="11" t="n">
        <f aca="false">H51/I51</f>
        <v>0.859881104739514</v>
      </c>
    </row>
    <row r="52" customFormat="false" ht="15" hidden="false" customHeight="false" outlineLevel="0" collapsed="false">
      <c r="A52" s="8" t="n">
        <v>47</v>
      </c>
      <c r="B52" s="8" t="s">
        <v>28</v>
      </c>
      <c r="C52" s="8" t="s">
        <v>24</v>
      </c>
      <c r="D52" s="9" t="n">
        <v>0.05</v>
      </c>
      <c r="E52" s="10" t="n">
        <v>0.5</v>
      </c>
      <c r="F52" s="11" t="n">
        <v>2.238</v>
      </c>
      <c r="G52" s="12" t="n">
        <v>600</v>
      </c>
      <c r="H52" s="9" t="n">
        <v>0.219708960493469</v>
      </c>
      <c r="I52" s="9" t="n">
        <v>0.270699197078537</v>
      </c>
      <c r="J52" s="9" t="n">
        <v>0.291980241616689</v>
      </c>
      <c r="K52" s="9" t="n">
        <v>0.217611600811306</v>
      </c>
      <c r="L52" s="9" t="n">
        <f aca="false">SUM(H52:K52)</f>
        <v>1</v>
      </c>
      <c r="M52" s="9" t="n">
        <v>0.414299179681337</v>
      </c>
      <c r="N52" s="9" t="n">
        <v>0.331671428571429</v>
      </c>
      <c r="O52" s="9" t="n">
        <v>0.585700820318663</v>
      </c>
      <c r="P52" s="9" t="n">
        <f aca="false">M52+O52</f>
        <v>1</v>
      </c>
      <c r="Q52" s="11" t="n">
        <f aca="false">H52/I52</f>
        <v>0.811635065285122</v>
      </c>
    </row>
    <row r="53" customFormat="false" ht="15" hidden="false" customHeight="false" outlineLevel="0" collapsed="false">
      <c r="A53" s="8" t="n">
        <v>48</v>
      </c>
      <c r="B53" s="8" t="s">
        <v>28</v>
      </c>
      <c r="C53" s="8" t="s">
        <v>24</v>
      </c>
      <c r="D53" s="9" t="n">
        <v>0.05</v>
      </c>
      <c r="E53" s="10" t="n">
        <v>0.5</v>
      </c>
      <c r="F53" s="11" t="n">
        <v>2.238</v>
      </c>
      <c r="G53" s="12" t="n">
        <v>600</v>
      </c>
      <c r="H53" s="9" t="n">
        <v>0.225195307668396</v>
      </c>
      <c r="I53" s="9" t="n">
        <v>0.27219898292885</v>
      </c>
      <c r="J53" s="9" t="n">
        <v>0.2935979332821</v>
      </c>
      <c r="K53" s="9" t="n">
        <v>0.209007776120654</v>
      </c>
      <c r="L53" s="9" t="n">
        <f aca="false">SUM(H53:K53)</f>
        <v>1</v>
      </c>
      <c r="M53" s="9" t="n">
        <v>0.414299179681337</v>
      </c>
      <c r="N53" s="9" t="n">
        <v>0.331671428571429</v>
      </c>
      <c r="O53" s="9" t="n">
        <v>0.585700820318663</v>
      </c>
      <c r="P53" s="9" t="n">
        <f aca="false">M53+O53</f>
        <v>1</v>
      </c>
      <c r="Q53" s="11" t="n">
        <f aca="false">H53/I53</f>
        <v>0.827318696217393</v>
      </c>
    </row>
    <row r="54" customFormat="false" ht="15" hidden="false" customHeight="false" outlineLevel="0" collapsed="false">
      <c r="A54" s="8" t="n">
        <v>49</v>
      </c>
      <c r="B54" s="8" t="s">
        <v>28</v>
      </c>
      <c r="C54" s="8" t="s">
        <v>24</v>
      </c>
      <c r="D54" s="9" t="n">
        <v>0</v>
      </c>
      <c r="E54" s="10" t="n">
        <v>0.25</v>
      </c>
      <c r="F54" s="11" t="n">
        <v>1.066</v>
      </c>
      <c r="G54" s="12" t="n">
        <v>600</v>
      </c>
      <c r="H54" s="9" t="n">
        <v>0.2324206549863</v>
      </c>
      <c r="I54" s="9" t="n">
        <v>0.263857979090779</v>
      </c>
      <c r="J54" s="9" t="n">
        <v>0.294405536525145</v>
      </c>
      <c r="K54" s="9" t="n">
        <v>0.209315829397776</v>
      </c>
      <c r="L54" s="9" t="n">
        <f aca="false">SUM(H54:K54)</f>
        <v>1</v>
      </c>
      <c r="M54" s="9" t="n">
        <v>0.454080753504673</v>
      </c>
      <c r="N54" s="9" t="n">
        <v>0.315059523809524</v>
      </c>
      <c r="O54" s="9" t="n">
        <v>0.545919246495328</v>
      </c>
      <c r="P54" s="9" t="n">
        <f aca="false">M54+O54</f>
        <v>1</v>
      </c>
      <c r="Q54" s="11" t="n">
        <f aca="false">H54/I54</f>
        <v>0.880855131943297</v>
      </c>
    </row>
    <row r="55" customFormat="false" ht="15" hidden="false" customHeight="false" outlineLevel="0" collapsed="false">
      <c r="A55" s="8" t="n">
        <v>50</v>
      </c>
      <c r="B55" s="8" t="s">
        <v>28</v>
      </c>
      <c r="C55" s="8" t="s">
        <v>24</v>
      </c>
      <c r="D55" s="9" t="n">
        <v>0</v>
      </c>
      <c r="E55" s="10" t="n">
        <v>0.5</v>
      </c>
      <c r="F55" s="11" t="n">
        <v>2.238</v>
      </c>
      <c r="G55" s="12" t="n">
        <v>600</v>
      </c>
      <c r="H55" s="9" t="n">
        <v>0.235709406349615</v>
      </c>
      <c r="I55" s="9" t="n">
        <v>0.290413039592877</v>
      </c>
      <c r="J55" s="9" t="n">
        <v>0.276946743104231</v>
      </c>
      <c r="K55" s="9" t="n">
        <v>0.196930810953276</v>
      </c>
      <c r="L55" s="9" t="n">
        <f aca="false">SUM(H55:K55)</f>
        <v>1</v>
      </c>
      <c r="M55" s="9" t="n">
        <v>0.42804576123626</v>
      </c>
      <c r="N55" s="9" t="n">
        <v>0.29031746031746</v>
      </c>
      <c r="O55" s="9" t="n">
        <v>0.57195423876374</v>
      </c>
      <c r="P55" s="9" t="n">
        <f aca="false">M55+O55</f>
        <v>1</v>
      </c>
      <c r="Q55" s="11" t="n">
        <f aca="false">H55/I55</f>
        <v>0.811635065285122</v>
      </c>
    </row>
    <row r="56" customFormat="false" ht="15" hidden="false" customHeight="false" outlineLevel="0" collapsed="false">
      <c r="A56" s="8" t="n">
        <v>51</v>
      </c>
      <c r="B56" s="8" t="s">
        <v>28</v>
      </c>
      <c r="C56" s="8" t="s">
        <v>25</v>
      </c>
      <c r="D56" s="9" t="n">
        <v>0.05</v>
      </c>
      <c r="E56" s="10" t="n">
        <v>0.5</v>
      </c>
      <c r="F56" s="11" t="n">
        <v>2.238</v>
      </c>
      <c r="G56" s="12" t="n">
        <v>600</v>
      </c>
      <c r="H56" s="9" t="n">
        <v>0.177961423495612</v>
      </c>
      <c r="I56" s="9" t="n">
        <v>0.275342615320003</v>
      </c>
      <c r="J56" s="9" t="n">
        <v>0.365423140895286</v>
      </c>
      <c r="K56" s="9" t="n">
        <v>0.181272820289099</v>
      </c>
      <c r="L56" s="9" t="n">
        <f aca="false">SUM(H56:K56)</f>
        <v>1</v>
      </c>
      <c r="M56" s="9" t="n">
        <v>0.414299179681337</v>
      </c>
      <c r="N56" s="9" t="n">
        <v>0.331671428571429</v>
      </c>
      <c r="O56" s="9" t="n">
        <v>0.585700820318663</v>
      </c>
      <c r="P56" s="9" t="n">
        <f aca="false">M56+O56</f>
        <v>1</v>
      </c>
      <c r="Q56" s="11" t="n">
        <f aca="false">H56/I56</f>
        <v>0.646327206882908</v>
      </c>
    </row>
    <row r="57" customFormat="false" ht="15" hidden="false" customHeight="false" outlineLevel="0" collapsed="false">
      <c r="A57" s="8" t="n">
        <v>52</v>
      </c>
      <c r="B57" s="8" t="s">
        <v>28</v>
      </c>
      <c r="C57" s="8" t="s">
        <v>25</v>
      </c>
      <c r="D57" s="9" t="n">
        <v>0</v>
      </c>
      <c r="E57" s="10" t="n">
        <v>0.25</v>
      </c>
      <c r="F57" s="11" t="n">
        <v>1.066</v>
      </c>
      <c r="G57" s="12" t="n">
        <v>600</v>
      </c>
      <c r="H57" s="9" t="n">
        <v>0.175989018988904</v>
      </c>
      <c r="I57" s="9" t="n">
        <v>0.263009064434758</v>
      </c>
      <c r="J57" s="9" t="n">
        <v>0.382991710466491</v>
      </c>
      <c r="K57" s="9" t="n">
        <v>0.178010206109847</v>
      </c>
      <c r="L57" s="9" t="n">
        <f aca="false">SUM(H57:K57)</f>
        <v>1</v>
      </c>
      <c r="M57" s="9" t="n">
        <v>0.454080753504673</v>
      </c>
      <c r="N57" s="9" t="n">
        <v>0.315059523809524</v>
      </c>
      <c r="O57" s="9" t="n">
        <v>0.545919246495328</v>
      </c>
      <c r="P57" s="9" t="n">
        <f aca="false">M57+O57</f>
        <v>1</v>
      </c>
      <c r="Q57" s="11" t="n">
        <f aca="false">H57/I57</f>
        <v>0.6691367058665</v>
      </c>
    </row>
    <row r="58" customFormat="false" ht="15" hidden="false" customHeight="false" outlineLevel="0" collapsed="false">
      <c r="A58" s="8" t="n">
        <v>53</v>
      </c>
      <c r="B58" s="8" t="s">
        <v>28</v>
      </c>
      <c r="C58" s="8" t="s">
        <v>25</v>
      </c>
      <c r="D58" s="9" t="n">
        <v>0</v>
      </c>
      <c r="E58" s="10" t="n">
        <v>0.5</v>
      </c>
      <c r="F58" s="11" t="n">
        <v>2.238</v>
      </c>
      <c r="G58" s="12" t="n">
        <v>600</v>
      </c>
      <c r="H58" s="9" t="n">
        <v>0.165704331227687</v>
      </c>
      <c r="I58" s="9" t="n">
        <v>0.289383112013589</v>
      </c>
      <c r="J58" s="9" t="n">
        <v>0.372342963582685</v>
      </c>
      <c r="K58" s="9" t="n">
        <v>0.172569593176039</v>
      </c>
      <c r="L58" s="9" t="n">
        <f aca="false">SUM(H58:K58)</f>
        <v>1</v>
      </c>
      <c r="M58" s="9" t="n">
        <v>0.42804576123626</v>
      </c>
      <c r="N58" s="9" t="n">
        <v>0.29031746031746</v>
      </c>
      <c r="O58" s="9" t="n">
        <v>0.57195423876374</v>
      </c>
      <c r="P58" s="9" t="n">
        <f aca="false">M58+O58</f>
        <v>1</v>
      </c>
      <c r="Q58" s="11" t="n">
        <f aca="false">H58/I58</f>
        <v>0.572612306484235</v>
      </c>
    </row>
    <row r="59" customFormat="false" ht="15" hidden="false" customHeight="false" outlineLevel="0" collapsed="false">
      <c r="A59" s="8" t="n">
        <v>54</v>
      </c>
      <c r="B59" s="8" t="s">
        <v>28</v>
      </c>
      <c r="C59" s="8" t="s">
        <v>26</v>
      </c>
      <c r="D59" s="9" t="n">
        <v>0</v>
      </c>
      <c r="E59" s="10" t="n">
        <v>0.25</v>
      </c>
      <c r="F59" s="11" t="n">
        <v>1.066</v>
      </c>
      <c r="G59" s="12" t="n">
        <v>600</v>
      </c>
      <c r="H59" s="9" t="n">
        <v>0.13228610801781</v>
      </c>
      <c r="I59" s="9" t="n">
        <v>0.185223706451381</v>
      </c>
      <c r="J59" s="9" t="n">
        <v>0.297802734248223</v>
      </c>
      <c r="K59" s="9" t="n">
        <v>0.384687451282586</v>
      </c>
      <c r="L59" s="9" t="n">
        <f aca="false">SUM(H59:K59)</f>
        <v>1</v>
      </c>
      <c r="M59" s="9" t="n">
        <v>0.454080753504673</v>
      </c>
      <c r="N59" s="9" t="n">
        <v>0.315059523809524</v>
      </c>
      <c r="O59" s="9" t="n">
        <v>0.545919246495328</v>
      </c>
      <c r="P59" s="9" t="n">
        <f aca="false">M59+O59</f>
        <v>1</v>
      </c>
      <c r="Q59" s="11" t="n">
        <f aca="false">H59/I59</f>
        <v>0.71419641984399</v>
      </c>
    </row>
    <row r="60" customFormat="false" ht="15" hidden="false" customHeight="false" outlineLevel="0" collapsed="false">
      <c r="A60" s="8" t="n">
        <v>55</v>
      </c>
      <c r="B60" s="8" t="s">
        <v>28</v>
      </c>
      <c r="C60" s="8" t="s">
        <v>26</v>
      </c>
      <c r="D60" s="9" t="n">
        <v>0</v>
      </c>
      <c r="E60" s="10" t="n">
        <v>0.5</v>
      </c>
      <c r="F60" s="11" t="n">
        <v>2.238</v>
      </c>
      <c r="G60" s="12" t="n">
        <v>600</v>
      </c>
      <c r="H60" s="9" t="n">
        <v>0.163920800857653</v>
      </c>
      <c r="I60" s="9" t="n">
        <v>0.205306565611252</v>
      </c>
      <c r="J60" s="9" t="n">
        <v>0.295819018399173</v>
      </c>
      <c r="K60" s="9" t="n">
        <v>0.334953615131922</v>
      </c>
      <c r="L60" s="9" t="n">
        <f aca="false">SUM(H60:K60)</f>
        <v>1</v>
      </c>
      <c r="M60" s="9" t="n">
        <v>0.42804576123626</v>
      </c>
      <c r="N60" s="9" t="n">
        <v>0.29031746031746</v>
      </c>
      <c r="O60" s="9" t="n">
        <v>0.57195423876374</v>
      </c>
      <c r="P60" s="9" t="n">
        <f aca="false">M60+O60</f>
        <v>1</v>
      </c>
      <c r="Q60" s="11" t="n">
        <f aca="false">H60/I60</f>
        <v>0.798419672403643</v>
      </c>
    </row>
    <row r="61" customFormat="false" ht="15" hidden="false" customHeight="false" outlineLevel="0" collapsed="false">
      <c r="A61" s="8" t="n">
        <v>56</v>
      </c>
      <c r="B61" s="8" t="s">
        <v>28</v>
      </c>
      <c r="C61" s="8" t="s">
        <v>26</v>
      </c>
      <c r="D61" s="9" t="n">
        <v>0</v>
      </c>
      <c r="E61" s="10" t="n">
        <v>1</v>
      </c>
      <c r="F61" s="11" t="n">
        <v>4.475</v>
      </c>
      <c r="G61" s="12" t="n">
        <v>600</v>
      </c>
      <c r="H61" s="9" t="n">
        <v>0.157532149629313</v>
      </c>
      <c r="I61" s="9" t="n">
        <v>0.219259177369061</v>
      </c>
      <c r="J61" s="9" t="n">
        <v>0.319071449201227</v>
      </c>
      <c r="K61" s="9" t="n">
        <v>0.3041372238004</v>
      </c>
      <c r="L61" s="9" t="n">
        <f aca="false">SUM(H61:K61)</f>
        <v>1</v>
      </c>
      <c r="M61" s="9" t="n">
        <v>0.152456148449039</v>
      </c>
      <c r="N61" s="9" t="n">
        <v>0.463125</v>
      </c>
      <c r="O61" s="9" t="n">
        <v>0.847543851550961</v>
      </c>
      <c r="P61" s="9" t="n">
        <f aca="false">M61+O61</f>
        <v>1</v>
      </c>
      <c r="Q61" s="11" t="n">
        <f aca="false">H61/I61</f>
        <v>0.718474599419625</v>
      </c>
    </row>
    <row r="62" customFormat="false" ht="15" hidden="false" customHeight="false" outlineLevel="0" collapsed="false">
      <c r="A62" s="8" t="n">
        <v>57</v>
      </c>
      <c r="B62" s="8" t="s">
        <v>23</v>
      </c>
      <c r="C62" s="8" t="s">
        <v>24</v>
      </c>
      <c r="D62" s="9" t="n">
        <v>0.05</v>
      </c>
      <c r="E62" s="10" t="n">
        <v>0.25</v>
      </c>
      <c r="F62" s="11" t="n">
        <v>1.066</v>
      </c>
      <c r="G62" s="12" t="n">
        <v>800</v>
      </c>
      <c r="H62" s="9" t="n">
        <v>0.348314311486439</v>
      </c>
      <c r="I62" s="9" t="n">
        <v>0.279104720896398</v>
      </c>
      <c r="J62" s="9" t="n">
        <v>0.191724311581112</v>
      </c>
      <c r="K62" s="9" t="n">
        <v>0.180856656036051</v>
      </c>
      <c r="L62" s="9" t="n">
        <f aca="false">SUM(H62:K62)</f>
        <v>1</v>
      </c>
      <c r="M62" s="9" t="n">
        <v>0.171892166606433</v>
      </c>
      <c r="N62" s="9" t="n">
        <v>0.4377375</v>
      </c>
      <c r="O62" s="9" t="n">
        <v>0.828107833393567</v>
      </c>
      <c r="P62" s="9" t="n">
        <f aca="false">M62+O62</f>
        <v>1</v>
      </c>
      <c r="Q62" s="11" t="n">
        <f aca="false">H62/I62</f>
        <v>1.24796997473838</v>
      </c>
    </row>
    <row r="63" customFormat="false" ht="15" hidden="false" customHeight="false" outlineLevel="0" collapsed="false">
      <c r="A63" s="8" t="n">
        <v>58</v>
      </c>
      <c r="B63" s="8" t="s">
        <v>23</v>
      </c>
      <c r="C63" s="8" t="s">
        <v>24</v>
      </c>
      <c r="D63" s="9" t="n">
        <v>0.05</v>
      </c>
      <c r="E63" s="10" t="n">
        <v>0.5</v>
      </c>
      <c r="F63" s="11" t="n">
        <v>2.238</v>
      </c>
      <c r="G63" s="12" t="n">
        <v>800</v>
      </c>
      <c r="H63" s="9" t="n">
        <v>0.371775485155958</v>
      </c>
      <c r="I63" s="9" t="n">
        <v>0.215373223056869</v>
      </c>
      <c r="J63" s="9" t="n">
        <v>0.293375859852494</v>
      </c>
      <c r="K63" s="9" t="n">
        <v>0.119475431934679</v>
      </c>
      <c r="L63" s="9" t="n">
        <f aca="false">SUM(H63:K63)</f>
        <v>1</v>
      </c>
      <c r="M63" s="9" t="n">
        <v>0.178275289715113</v>
      </c>
      <c r="N63" s="9" t="n">
        <v>0.314803125</v>
      </c>
      <c r="O63" s="9" t="n">
        <v>0.821724710284887</v>
      </c>
      <c r="P63" s="9" t="n">
        <f aca="false">M63+O63</f>
        <v>1</v>
      </c>
      <c r="Q63" s="11" t="n">
        <f aca="false">H63/I63</f>
        <v>1.72619177017094</v>
      </c>
    </row>
    <row r="64" customFormat="false" ht="15" hidden="false" customHeight="false" outlineLevel="0" collapsed="false">
      <c r="A64" s="8" t="n">
        <v>59</v>
      </c>
      <c r="B64" s="8" t="s">
        <v>23</v>
      </c>
      <c r="C64" s="8" t="s">
        <v>24</v>
      </c>
      <c r="D64" s="9" t="n">
        <v>0.05</v>
      </c>
      <c r="E64" s="10" t="n">
        <v>1</v>
      </c>
      <c r="F64" s="11" t="n">
        <v>4.475</v>
      </c>
      <c r="G64" s="12" t="n">
        <v>800</v>
      </c>
      <c r="H64" s="9" t="n">
        <v>0.377593483756201</v>
      </c>
      <c r="I64" s="9" t="n">
        <v>0.25906320345145</v>
      </c>
      <c r="J64" s="9" t="n">
        <v>0.275583052441638</v>
      </c>
      <c r="K64" s="9" t="n">
        <v>0.08776026035071</v>
      </c>
      <c r="L64" s="9" t="n">
        <f aca="false">SUM(H64:K64)</f>
        <v>1</v>
      </c>
      <c r="M64" s="9" t="n">
        <v>0.204209522393975</v>
      </c>
      <c r="N64" s="9" t="n">
        <v>0.2881125</v>
      </c>
      <c r="O64" s="9" t="n">
        <v>0.795790477606025</v>
      </c>
      <c r="P64" s="9" t="n">
        <f aca="false">M64+O64</f>
        <v>1</v>
      </c>
      <c r="Q64" s="11" t="n">
        <f aca="false">H64/I64</f>
        <v>1.45753421838993</v>
      </c>
    </row>
    <row r="65" customFormat="false" ht="15" hidden="false" customHeight="false" outlineLevel="0" collapsed="false">
      <c r="A65" s="8" t="n">
        <v>60</v>
      </c>
      <c r="B65" s="8" t="s">
        <v>23</v>
      </c>
      <c r="C65" s="8" t="s">
        <v>25</v>
      </c>
      <c r="D65" s="9" t="n">
        <v>0.05</v>
      </c>
      <c r="E65" s="10" t="n">
        <v>0.25</v>
      </c>
      <c r="F65" s="11" t="n">
        <v>1.066</v>
      </c>
      <c r="G65" s="12" t="n">
        <v>800</v>
      </c>
      <c r="H65" s="9" t="n">
        <v>0.323061797344631</v>
      </c>
      <c r="I65" s="9" t="n">
        <v>0.2342408289489</v>
      </c>
      <c r="J65" s="9" t="n">
        <v>0.325809317606375</v>
      </c>
      <c r="K65" s="9" t="n">
        <v>0.116888056100094</v>
      </c>
      <c r="L65" s="9" t="n">
        <f aca="false">SUM(H65:K65)</f>
        <v>1</v>
      </c>
      <c r="M65" s="9" t="n">
        <v>0.171892166606433</v>
      </c>
      <c r="N65" s="9" t="n">
        <v>0.4377375</v>
      </c>
      <c r="O65" s="9" t="n">
        <v>0.828107833393567</v>
      </c>
      <c r="P65" s="9" t="n">
        <f aca="false">M65+O65</f>
        <v>1</v>
      </c>
      <c r="Q65" s="11" t="n">
        <f aca="false">H65/I65</f>
        <v>1.37918653547417</v>
      </c>
    </row>
    <row r="66" customFormat="false" ht="15" hidden="false" customHeight="false" outlineLevel="0" collapsed="false">
      <c r="A66" s="8" t="n">
        <v>61</v>
      </c>
      <c r="B66" s="8" t="s">
        <v>23</v>
      </c>
      <c r="C66" s="8" t="s">
        <v>25</v>
      </c>
      <c r="D66" s="9" t="n">
        <v>0.05</v>
      </c>
      <c r="E66" s="10" t="n">
        <v>0.5</v>
      </c>
      <c r="F66" s="11" t="n">
        <v>2.238</v>
      </c>
      <c r="G66" s="12" t="n">
        <v>800</v>
      </c>
      <c r="H66" s="9" t="n">
        <v>0.332174486823184</v>
      </c>
      <c r="I66" s="9" t="n">
        <v>0.215507003375156</v>
      </c>
      <c r="J66" s="9" t="n">
        <v>0.305146377798513</v>
      </c>
      <c r="K66" s="9" t="n">
        <v>0.147172132003147</v>
      </c>
      <c r="L66" s="9" t="n">
        <f aca="false">SUM(H66:K66)</f>
        <v>1</v>
      </c>
      <c r="M66" s="9" t="n">
        <v>0.178275289715113</v>
      </c>
      <c r="N66" s="9" t="n">
        <v>0.314803125</v>
      </c>
      <c r="O66" s="9" t="n">
        <v>0.821724710284887</v>
      </c>
      <c r="P66" s="9" t="n">
        <f aca="false">M66+O66</f>
        <v>1</v>
      </c>
      <c r="Q66" s="11" t="n">
        <f aca="false">H66/I66</f>
        <v>1.54136284028288</v>
      </c>
    </row>
    <row r="67" customFormat="false" ht="15" hidden="false" customHeight="false" outlineLevel="0" collapsed="false">
      <c r="A67" s="8" t="n">
        <v>62</v>
      </c>
      <c r="B67" s="8" t="s">
        <v>23</v>
      </c>
      <c r="C67" s="8" t="s">
        <v>25</v>
      </c>
      <c r="D67" s="9" t="n">
        <v>0.05</v>
      </c>
      <c r="E67" s="10" t="n">
        <v>1</v>
      </c>
      <c r="F67" s="11" t="n">
        <v>4.475</v>
      </c>
      <c r="G67" s="12" t="n">
        <v>800</v>
      </c>
      <c r="H67" s="9" t="n">
        <v>0.355278708941895</v>
      </c>
      <c r="I67" s="9" t="n">
        <v>0.242186458305203</v>
      </c>
      <c r="J67" s="9" t="n">
        <v>0.312481130241535</v>
      </c>
      <c r="K67" s="9" t="n">
        <v>0.0900537025113666</v>
      </c>
      <c r="L67" s="9" t="n">
        <f aca="false">SUM(H67:K67)</f>
        <v>1</v>
      </c>
      <c r="M67" s="9" t="n">
        <v>0.204209522393975</v>
      </c>
      <c r="N67" s="9" t="n">
        <v>0.2881125</v>
      </c>
      <c r="O67" s="9" t="n">
        <v>0.795790477606025</v>
      </c>
      <c r="P67" s="9" t="n">
        <f aca="false">M67+O67</f>
        <v>1</v>
      </c>
      <c r="Q67" s="11" t="n">
        <f aca="false">H67/I67</f>
        <v>1.46696355951568</v>
      </c>
    </row>
    <row r="68" customFormat="false" ht="15" hidden="false" customHeight="false" outlineLevel="0" collapsed="false">
      <c r="A68" s="8" t="n">
        <v>63</v>
      </c>
      <c r="B68" s="8" t="s">
        <v>23</v>
      </c>
      <c r="C68" s="8" t="s">
        <v>26</v>
      </c>
      <c r="D68" s="9" t="n">
        <v>0.05</v>
      </c>
      <c r="E68" s="10" t="n">
        <v>0.25</v>
      </c>
      <c r="F68" s="11" t="n">
        <v>1.066</v>
      </c>
      <c r="G68" s="12" t="n">
        <v>800</v>
      </c>
      <c r="H68" s="9" t="n">
        <v>0.237082913119779</v>
      </c>
      <c r="I68" s="9" t="n">
        <v>0.195519022318909</v>
      </c>
      <c r="J68" s="9" t="n">
        <v>0.299944137462678</v>
      </c>
      <c r="K68" s="9" t="n">
        <v>0.267453927098634</v>
      </c>
      <c r="L68" s="9" t="n">
        <f aca="false">SUM(H68:K68)</f>
        <v>1</v>
      </c>
      <c r="M68" s="9" t="n">
        <v>0.171892166606433</v>
      </c>
      <c r="N68" s="9" t="n">
        <v>0.4377375</v>
      </c>
      <c r="O68" s="9" t="n">
        <v>0.828107833393567</v>
      </c>
      <c r="P68" s="9" t="n">
        <f aca="false">M68+O68</f>
        <v>1</v>
      </c>
      <c r="Q68" s="11" t="n">
        <f aca="false">H68/I68</f>
        <v>1.21258233755422</v>
      </c>
    </row>
    <row r="69" customFormat="false" ht="15" hidden="false" customHeight="false" outlineLevel="0" collapsed="false">
      <c r="A69" s="8" t="n">
        <v>64</v>
      </c>
      <c r="B69" s="8" t="s">
        <v>23</v>
      </c>
      <c r="C69" s="8" t="s">
        <v>26</v>
      </c>
      <c r="D69" s="9" t="n">
        <v>0.05</v>
      </c>
      <c r="E69" s="10" t="n">
        <v>0.5</v>
      </c>
      <c r="F69" s="11" t="n">
        <v>2.238</v>
      </c>
      <c r="G69" s="12" t="n">
        <v>800</v>
      </c>
      <c r="H69" s="9" t="n">
        <v>0.240966638362148</v>
      </c>
      <c r="I69" s="9" t="n">
        <v>0.216564862601568</v>
      </c>
      <c r="J69" s="9" t="n">
        <v>0.299874212096002</v>
      </c>
      <c r="K69" s="9" t="n">
        <v>0.242594286940283</v>
      </c>
      <c r="L69" s="9" t="n">
        <f aca="false">SUM(H69:K69)</f>
        <v>1</v>
      </c>
      <c r="M69" s="9" t="n">
        <v>0.178275289715113</v>
      </c>
      <c r="N69" s="9" t="n">
        <v>0.314803125</v>
      </c>
      <c r="O69" s="9" t="n">
        <v>0.821724710284887</v>
      </c>
      <c r="P69" s="9" t="n">
        <f aca="false">M69+O69</f>
        <v>1</v>
      </c>
      <c r="Q69" s="11" t="n">
        <f aca="false">H69/I69</f>
        <v>1.11267652317853</v>
      </c>
    </row>
    <row r="70" customFormat="false" ht="15" hidden="false" customHeight="false" outlineLevel="0" collapsed="false">
      <c r="A70" s="8" t="n">
        <v>65</v>
      </c>
      <c r="B70" s="8" t="s">
        <v>23</v>
      </c>
      <c r="C70" s="8" t="s">
        <v>26</v>
      </c>
      <c r="D70" s="9" t="n">
        <v>0.05</v>
      </c>
      <c r="E70" s="10" t="n">
        <v>1</v>
      </c>
      <c r="F70" s="11" t="n">
        <v>4.475</v>
      </c>
      <c r="G70" s="12" t="n">
        <v>800</v>
      </c>
      <c r="H70" s="9" t="n">
        <v>0.217979658917378</v>
      </c>
      <c r="I70" s="9" t="n">
        <v>0.186060875256588</v>
      </c>
      <c r="J70" s="9" t="n">
        <v>0.291443957311471</v>
      </c>
      <c r="K70" s="9" t="n">
        <v>0.304515508514563</v>
      </c>
      <c r="L70" s="9" t="n">
        <f aca="false">SUM(H70:K70)</f>
        <v>1</v>
      </c>
      <c r="M70" s="9" t="n">
        <v>0.204209522393975</v>
      </c>
      <c r="N70" s="9" t="n">
        <v>0.2881125</v>
      </c>
      <c r="O70" s="9" t="n">
        <v>0.795790477606025</v>
      </c>
      <c r="P70" s="9" t="n">
        <f aca="false">M70+O70</f>
        <v>1</v>
      </c>
      <c r="Q70" s="11" t="n">
        <f aca="false">H70/I70</f>
        <v>1.17155021772724</v>
      </c>
    </row>
    <row r="71" customFormat="false" ht="15" hidden="false" customHeight="false" outlineLevel="0" collapsed="false">
      <c r="A71" s="8" t="n">
        <v>66</v>
      </c>
      <c r="B71" s="8" t="s">
        <v>27</v>
      </c>
      <c r="C71" s="8" t="s">
        <v>24</v>
      </c>
      <c r="D71" s="9" t="n">
        <v>0.1</v>
      </c>
      <c r="E71" s="10" t="n">
        <v>0.25</v>
      </c>
      <c r="F71" s="11" t="n">
        <v>1.066</v>
      </c>
      <c r="G71" s="12" t="n">
        <v>800</v>
      </c>
      <c r="H71" s="9" t="n">
        <v>0.342713217421551</v>
      </c>
      <c r="I71" s="9" t="n">
        <v>0.195750060522116</v>
      </c>
      <c r="J71" s="9" t="n">
        <v>0.261911319957111</v>
      </c>
      <c r="K71" s="9" t="n">
        <v>0.199625402099222</v>
      </c>
      <c r="L71" s="9" t="n">
        <f aca="false">SUM(H71:K71)</f>
        <v>1</v>
      </c>
      <c r="M71" s="9" t="n">
        <v>0.222484652114598</v>
      </c>
      <c r="N71" s="9" t="n">
        <v>0.2183625</v>
      </c>
      <c r="O71" s="9" t="n">
        <v>0.777515347885402</v>
      </c>
      <c r="P71" s="9" t="n">
        <f aca="false">M71+O71</f>
        <v>1</v>
      </c>
      <c r="Q71" s="11" t="n">
        <f aca="false">H71/I71</f>
        <v>1.75076940720962</v>
      </c>
    </row>
    <row r="72" customFormat="false" ht="15" hidden="false" customHeight="false" outlineLevel="0" collapsed="false">
      <c r="A72" s="8" t="n">
        <v>67</v>
      </c>
      <c r="B72" s="8" t="s">
        <v>27</v>
      </c>
      <c r="C72" s="8" t="s">
        <v>24</v>
      </c>
      <c r="D72" s="9" t="n">
        <v>0.1</v>
      </c>
      <c r="E72" s="10" t="n">
        <v>0.5</v>
      </c>
      <c r="F72" s="11" t="n">
        <v>2.238</v>
      </c>
      <c r="G72" s="12" t="n">
        <v>800</v>
      </c>
      <c r="H72" s="9" t="n">
        <v>0.337081821543026</v>
      </c>
      <c r="I72" s="9" t="n">
        <v>0.205941473429863</v>
      </c>
      <c r="J72" s="9" t="n">
        <v>0.282618859120226</v>
      </c>
      <c r="K72" s="9" t="n">
        <v>0.174357845906885</v>
      </c>
      <c r="L72" s="9" t="n">
        <f aca="false">SUM(H72:K72)</f>
        <v>1</v>
      </c>
      <c r="M72" s="9" t="n">
        <v>0.419954244704124</v>
      </c>
      <c r="N72" s="9" t="n">
        <v>0.21744375</v>
      </c>
      <c r="O72" s="9" t="n">
        <v>0.580045755295876</v>
      </c>
      <c r="P72" s="9" t="n">
        <f aca="false">M72+O72</f>
        <v>1</v>
      </c>
      <c r="Q72" s="11" t="n">
        <f aca="false">H72/I72</f>
        <v>1.6367845481975</v>
      </c>
    </row>
    <row r="73" customFormat="false" ht="15" hidden="false" customHeight="false" outlineLevel="0" collapsed="false">
      <c r="A73" s="8" t="n">
        <v>68</v>
      </c>
      <c r="B73" s="8" t="s">
        <v>27</v>
      </c>
      <c r="C73" s="8" t="s">
        <v>24</v>
      </c>
      <c r="D73" s="9" t="n">
        <v>0.1</v>
      </c>
      <c r="E73" s="10" t="n">
        <v>1</v>
      </c>
      <c r="F73" s="11" t="n">
        <v>4.475</v>
      </c>
      <c r="G73" s="12" t="n">
        <v>800</v>
      </c>
      <c r="H73" s="9" t="n">
        <v>0.348339254823855</v>
      </c>
      <c r="I73" s="9" t="n">
        <v>0.201389183475655</v>
      </c>
      <c r="J73" s="9" t="n">
        <v>0.251004681036122</v>
      </c>
      <c r="K73" s="9" t="n">
        <v>0.199266880664369</v>
      </c>
      <c r="L73" s="9" t="n">
        <f aca="false">SUM(H73:K73)</f>
        <v>1</v>
      </c>
      <c r="M73" s="9" t="n">
        <v>0.212847792607802</v>
      </c>
      <c r="N73" s="9" t="n">
        <v>0.21560625</v>
      </c>
      <c r="O73" s="9" t="n">
        <v>0.787152207392198</v>
      </c>
      <c r="P73" s="9" t="n">
        <f aca="false">M73+O73</f>
        <v>1</v>
      </c>
      <c r="Q73" s="11" t="n">
        <f aca="false">H73/I73</f>
        <v>1.72968204554026</v>
      </c>
    </row>
    <row r="74" customFormat="false" ht="15" hidden="false" customHeight="false" outlineLevel="0" collapsed="false">
      <c r="A74" s="8" t="n">
        <v>69</v>
      </c>
      <c r="B74" s="8" t="s">
        <v>27</v>
      </c>
      <c r="C74" s="8" t="s">
        <v>25</v>
      </c>
      <c r="D74" s="9" t="n">
        <v>0.1</v>
      </c>
      <c r="E74" s="10" t="n">
        <v>0.25</v>
      </c>
      <c r="F74" s="11" t="n">
        <v>1.066</v>
      </c>
      <c r="G74" s="12" t="n">
        <v>800</v>
      </c>
      <c r="H74" s="9" t="n">
        <v>0.302518492985197</v>
      </c>
      <c r="I74" s="9" t="n">
        <v>0.23915831230226</v>
      </c>
      <c r="J74" s="9" t="n">
        <v>0.315506092623339</v>
      </c>
      <c r="K74" s="9" t="n">
        <v>0.142817102089204</v>
      </c>
      <c r="L74" s="9" t="n">
        <f aca="false">SUM(H74:K74)</f>
        <v>1</v>
      </c>
      <c r="M74" s="9" t="n">
        <v>0.222484652114598</v>
      </c>
      <c r="N74" s="9" t="n">
        <v>0.2183625</v>
      </c>
      <c r="O74" s="9" t="n">
        <v>0.777515347885402</v>
      </c>
      <c r="P74" s="9" t="n">
        <f aca="false">M74+O74</f>
        <v>1</v>
      </c>
      <c r="Q74" s="11" t="n">
        <f aca="false">H74/I74</f>
        <v>1.26492987039839</v>
      </c>
    </row>
    <row r="75" customFormat="false" ht="15" hidden="false" customHeight="false" outlineLevel="0" collapsed="false">
      <c r="A75" s="8" t="n">
        <v>70</v>
      </c>
      <c r="B75" s="8" t="s">
        <v>27</v>
      </c>
      <c r="C75" s="8" t="s">
        <v>25</v>
      </c>
      <c r="D75" s="9" t="n">
        <v>0.1</v>
      </c>
      <c r="E75" s="10" t="n">
        <v>0.5</v>
      </c>
      <c r="F75" s="11" t="n">
        <v>2.238</v>
      </c>
      <c r="G75" s="12" t="n">
        <v>800</v>
      </c>
      <c r="H75" s="9" t="n">
        <v>0.362246714320156</v>
      </c>
      <c r="I75" s="9" t="n">
        <v>0.201689393921037</v>
      </c>
      <c r="J75" s="9" t="n">
        <v>0.306669938882291</v>
      </c>
      <c r="K75" s="9" t="n">
        <v>0.129393952876516</v>
      </c>
      <c r="L75" s="9" t="n">
        <f aca="false">SUM(H75:K75)</f>
        <v>1</v>
      </c>
      <c r="M75" s="9" t="n">
        <v>0.419954244704124</v>
      </c>
      <c r="N75" s="9" t="n">
        <v>0.21744375</v>
      </c>
      <c r="O75" s="9" t="n">
        <v>0.580045755295876</v>
      </c>
      <c r="P75" s="9" t="n">
        <f aca="false">M75+O75</f>
        <v>1</v>
      </c>
      <c r="Q75" s="11" t="n">
        <f aca="false">H75/I75</f>
        <v>1.79606228804465</v>
      </c>
    </row>
    <row r="76" customFormat="false" ht="15" hidden="false" customHeight="false" outlineLevel="0" collapsed="false">
      <c r="A76" s="8" t="n">
        <v>71</v>
      </c>
      <c r="B76" s="8" t="s">
        <v>27</v>
      </c>
      <c r="C76" s="8" t="s">
        <v>25</v>
      </c>
      <c r="D76" s="9" t="n">
        <v>0.1</v>
      </c>
      <c r="E76" s="10" t="n">
        <v>1</v>
      </c>
      <c r="F76" s="11" t="n">
        <v>4.475</v>
      </c>
      <c r="G76" s="12" t="n">
        <v>800</v>
      </c>
      <c r="H76" s="9" t="n">
        <v>0.334277114874924</v>
      </c>
      <c r="I76" s="9" t="n">
        <v>0.246938743196255</v>
      </c>
      <c r="J76" s="9" t="n">
        <v>0.325641950658072</v>
      </c>
      <c r="K76" s="9" t="n">
        <v>0.0931421912707486</v>
      </c>
      <c r="L76" s="9" t="n">
        <f aca="false">SUM(H76:K76)</f>
        <v>1</v>
      </c>
      <c r="M76" s="9" t="n">
        <v>0.212847792607802</v>
      </c>
      <c r="N76" s="9" t="n">
        <v>0.21560625</v>
      </c>
      <c r="O76" s="9" t="n">
        <v>0.787152207392198</v>
      </c>
      <c r="P76" s="9" t="n">
        <f aca="false">M76+O76</f>
        <v>1</v>
      </c>
      <c r="Q76" s="11" t="n">
        <f aca="false">H76/I76</f>
        <v>1.35368436134486</v>
      </c>
    </row>
    <row r="77" customFormat="false" ht="15" hidden="false" customHeight="false" outlineLevel="0" collapsed="false">
      <c r="A77" s="8" t="n">
        <v>72</v>
      </c>
      <c r="B77" s="8" t="s">
        <v>27</v>
      </c>
      <c r="C77" s="8" t="s">
        <v>26</v>
      </c>
      <c r="D77" s="9" t="n">
        <v>0.1</v>
      </c>
      <c r="E77" s="10" t="n">
        <v>0.25</v>
      </c>
      <c r="F77" s="11" t="n">
        <v>1.066</v>
      </c>
      <c r="G77" s="12" t="n">
        <v>800</v>
      </c>
      <c r="H77" s="9" t="n">
        <v>0.235378089410598</v>
      </c>
      <c r="I77" s="9" t="n">
        <v>0.177815345469949</v>
      </c>
      <c r="J77" s="9" t="n">
        <v>0.307001996312051</v>
      </c>
      <c r="K77" s="9" t="n">
        <v>0.279804568807402</v>
      </c>
      <c r="L77" s="9" t="n">
        <f aca="false">SUM(H77:K77)</f>
        <v>1</v>
      </c>
      <c r="M77" s="9" t="n">
        <v>0.222484652114598</v>
      </c>
      <c r="N77" s="9" t="n">
        <v>0.2183625</v>
      </c>
      <c r="O77" s="9" t="n">
        <v>0.777515347885402</v>
      </c>
      <c r="P77" s="9" t="n">
        <f aca="false">M77+O77</f>
        <v>1</v>
      </c>
      <c r="Q77" s="11" t="n">
        <f aca="false">H77/I77</f>
        <v>1.32372202628809</v>
      </c>
    </row>
    <row r="78" customFormat="false" ht="15" hidden="false" customHeight="false" outlineLevel="0" collapsed="false">
      <c r="A78" s="8" t="n">
        <v>73</v>
      </c>
      <c r="B78" s="8" t="s">
        <v>27</v>
      </c>
      <c r="C78" s="8" t="s">
        <v>26</v>
      </c>
      <c r="D78" s="9" t="n">
        <v>0.1</v>
      </c>
      <c r="E78" s="10" t="n">
        <v>0.5</v>
      </c>
      <c r="F78" s="11" t="n">
        <v>2.238</v>
      </c>
      <c r="G78" s="12" t="n">
        <v>800</v>
      </c>
      <c r="H78" s="9" t="n">
        <v>0.21997603276964</v>
      </c>
      <c r="I78" s="9" t="n">
        <v>0.171984681697379</v>
      </c>
      <c r="J78" s="9" t="n">
        <v>0.29385148932022</v>
      </c>
      <c r="K78" s="9" t="n">
        <v>0.314187796212761</v>
      </c>
      <c r="L78" s="9" t="n">
        <f aca="false">SUM(H78:K78)</f>
        <v>1</v>
      </c>
      <c r="M78" s="9" t="n">
        <v>0.419954244704124</v>
      </c>
      <c r="N78" s="9" t="n">
        <v>0.21744375</v>
      </c>
      <c r="O78" s="9" t="n">
        <v>0.580045755295876</v>
      </c>
      <c r="P78" s="9" t="n">
        <f aca="false">M78+O78</f>
        <v>1</v>
      </c>
      <c r="Q78" s="11" t="n">
        <f aca="false">H78/I78</f>
        <v>1.27904433463851</v>
      </c>
    </row>
    <row r="79" customFormat="false" ht="15" hidden="false" customHeight="false" outlineLevel="0" collapsed="false">
      <c r="A79" s="8" t="n">
        <v>74</v>
      </c>
      <c r="B79" s="8" t="s">
        <v>27</v>
      </c>
      <c r="C79" s="8" t="s">
        <v>26</v>
      </c>
      <c r="D79" s="9" t="n">
        <v>0.1</v>
      </c>
      <c r="E79" s="10" t="n">
        <v>1</v>
      </c>
      <c r="F79" s="11" t="n">
        <v>4.475</v>
      </c>
      <c r="G79" s="12" t="n">
        <v>800</v>
      </c>
      <c r="H79" s="9" t="n">
        <v>0.250075979004804</v>
      </c>
      <c r="I79" s="9" t="n">
        <v>0.186057080079849</v>
      </c>
      <c r="J79" s="9" t="n">
        <v>0.311723912236112</v>
      </c>
      <c r="K79" s="9" t="n">
        <v>0.252143028679236</v>
      </c>
      <c r="L79" s="9" t="n">
        <f aca="false">SUM(H79:K79)</f>
        <v>1</v>
      </c>
      <c r="M79" s="9" t="n">
        <v>0.212847792607802</v>
      </c>
      <c r="N79" s="9" t="n">
        <v>0.21560625</v>
      </c>
      <c r="O79" s="9" t="n">
        <v>0.787152207392198</v>
      </c>
      <c r="P79" s="9" t="n">
        <f aca="false">M79+O79</f>
        <v>1</v>
      </c>
      <c r="Q79" s="11" t="n">
        <f aca="false">H79/I79</f>
        <v>1.3440820359939</v>
      </c>
    </row>
    <row r="80" customFormat="false" ht="15" hidden="false" customHeight="false" outlineLevel="0" collapsed="false">
      <c r="A80" s="8" t="n">
        <v>75</v>
      </c>
      <c r="B80" s="8" t="s">
        <v>28</v>
      </c>
      <c r="C80" s="8" t="s">
        <v>24</v>
      </c>
      <c r="D80" s="9" t="n">
        <v>0</v>
      </c>
      <c r="E80" s="10" t="n">
        <v>0.25</v>
      </c>
      <c r="F80" s="11" t="n">
        <v>1.066</v>
      </c>
      <c r="G80" s="12" t="n">
        <v>800</v>
      </c>
      <c r="H80" s="9" t="n">
        <v>0.345105434109798</v>
      </c>
      <c r="I80" s="9" t="n">
        <v>0.258508029474329</v>
      </c>
      <c r="J80" s="9" t="n">
        <v>0.267599014082689</v>
      </c>
      <c r="K80" s="9" t="n">
        <v>0.128787522333184</v>
      </c>
      <c r="L80" s="9" t="n">
        <f aca="false">SUM(H80:K80)</f>
        <v>1</v>
      </c>
      <c r="M80" s="9" t="n">
        <v>0.236223227034745</v>
      </c>
      <c r="N80" s="9" t="n">
        <v>0.14625</v>
      </c>
      <c r="O80" s="9" t="n">
        <v>0.763776772965255</v>
      </c>
      <c r="P80" s="9" t="n">
        <f aca="false">M80+O80</f>
        <v>1</v>
      </c>
      <c r="Q80" s="11" t="n">
        <f aca="false">H80/I80</f>
        <v>1.33498922571791</v>
      </c>
    </row>
    <row r="81" customFormat="false" ht="15" hidden="false" customHeight="false" outlineLevel="0" collapsed="false">
      <c r="A81" s="8" t="n">
        <v>76</v>
      </c>
      <c r="B81" s="8" t="s">
        <v>28</v>
      </c>
      <c r="C81" s="8" t="s">
        <v>24</v>
      </c>
      <c r="D81" s="9" t="n">
        <v>0</v>
      </c>
      <c r="E81" s="10" t="n">
        <v>0.5</v>
      </c>
      <c r="F81" s="11" t="n">
        <v>2.238</v>
      </c>
      <c r="G81" s="12" t="n">
        <v>800</v>
      </c>
      <c r="H81" s="9" t="n">
        <v>0.34681612402785</v>
      </c>
      <c r="I81" s="9" t="n">
        <v>0.258274595436439</v>
      </c>
      <c r="J81" s="9" t="n">
        <v>0.26695912460087</v>
      </c>
      <c r="K81" s="9" t="n">
        <v>0.127950155934841</v>
      </c>
      <c r="L81" s="9" t="n">
        <f aca="false">SUM(H81:K81)</f>
        <v>1</v>
      </c>
      <c r="M81" s="9" t="n">
        <v>0.241876715462034</v>
      </c>
      <c r="N81" s="9" t="n">
        <v>0.121354166666667</v>
      </c>
      <c r="O81" s="9" t="n">
        <v>0.758123284537966</v>
      </c>
      <c r="P81" s="9" t="n">
        <f aca="false">M81+O81</f>
        <v>1</v>
      </c>
      <c r="Q81" s="11" t="n">
        <f aca="false">H81/I81</f>
        <v>1.34281934869278</v>
      </c>
    </row>
    <row r="82" customFormat="false" ht="15" hidden="false" customHeight="false" outlineLevel="0" collapsed="false">
      <c r="A82" s="8" t="n">
        <v>77</v>
      </c>
      <c r="B82" s="8" t="s">
        <v>28</v>
      </c>
      <c r="C82" s="8" t="s">
        <v>24</v>
      </c>
      <c r="D82" s="9" t="n">
        <v>0</v>
      </c>
      <c r="E82" s="10" t="n">
        <v>1</v>
      </c>
      <c r="F82" s="11" t="n">
        <v>4.475</v>
      </c>
      <c r="G82" s="12" t="n">
        <v>800</v>
      </c>
      <c r="H82" s="9" t="n">
        <v>0.349338639333774</v>
      </c>
      <c r="I82" s="9" t="n">
        <v>0.258125049359786</v>
      </c>
      <c r="J82" s="9" t="n">
        <v>0.265253795723169</v>
      </c>
      <c r="K82" s="9" t="n">
        <v>0.127282515583271</v>
      </c>
      <c r="L82" s="9" t="n">
        <f aca="false">SUM(H82:K82)</f>
        <v>1</v>
      </c>
      <c r="M82" s="9" t="n">
        <v>0.261562582258489</v>
      </c>
      <c r="N82" s="9" t="n">
        <v>0.1203125</v>
      </c>
      <c r="O82" s="9" t="n">
        <v>0.738437417741511</v>
      </c>
      <c r="P82" s="9" t="n">
        <f aca="false">M82+O82</f>
        <v>1</v>
      </c>
      <c r="Q82" s="11" t="n">
        <f aca="false">H82/I82</f>
        <v>1.35336977252002</v>
      </c>
    </row>
    <row r="83" customFormat="false" ht="15" hidden="false" customHeight="false" outlineLevel="0" collapsed="false">
      <c r="A83" s="8" t="n">
        <v>78</v>
      </c>
      <c r="B83" s="8" t="s">
        <v>28</v>
      </c>
      <c r="C83" s="8" t="s">
        <v>25</v>
      </c>
      <c r="D83" s="9" t="n">
        <v>0</v>
      </c>
      <c r="E83" s="10" t="n">
        <v>0.25</v>
      </c>
      <c r="F83" s="11" t="n">
        <v>1.066</v>
      </c>
      <c r="G83" s="12" t="n">
        <v>800</v>
      </c>
      <c r="H83" s="9" t="n">
        <v>0.291450736136459</v>
      </c>
      <c r="I83" s="9" t="n">
        <v>0.344248126066882</v>
      </c>
      <c r="J83" s="9" t="n">
        <v>0.320096449302202</v>
      </c>
      <c r="K83" s="9" t="n">
        <v>0.0442046884944579</v>
      </c>
      <c r="L83" s="9" t="n">
        <f aca="false">SUM(H83:K83)</f>
        <v>1</v>
      </c>
      <c r="M83" s="9" t="n">
        <v>0.236223227034745</v>
      </c>
      <c r="N83" s="9" t="n">
        <v>0.14625</v>
      </c>
      <c r="O83" s="9" t="n">
        <v>0.763776772965255</v>
      </c>
      <c r="P83" s="9" t="n">
        <f aca="false">M83+O83</f>
        <v>1</v>
      </c>
      <c r="Q83" s="11" t="n">
        <f aca="false">H83/I83</f>
        <v>0.84662984070924</v>
      </c>
    </row>
    <row r="84" customFormat="false" ht="15" hidden="false" customHeight="false" outlineLevel="0" collapsed="false">
      <c r="A84" s="8" t="n">
        <v>79</v>
      </c>
      <c r="B84" s="8" t="s">
        <v>28</v>
      </c>
      <c r="C84" s="8" t="s">
        <v>25</v>
      </c>
      <c r="D84" s="9" t="n">
        <v>0</v>
      </c>
      <c r="E84" s="10" t="n">
        <v>0.5</v>
      </c>
      <c r="F84" s="11" t="n">
        <v>2.238</v>
      </c>
      <c r="G84" s="12" t="n">
        <v>800</v>
      </c>
      <c r="H84" s="9" t="n">
        <v>0.27810182003578</v>
      </c>
      <c r="I84" s="9" t="n">
        <v>0.341252583846431</v>
      </c>
      <c r="J84" s="9" t="n">
        <v>0.313439181415783</v>
      </c>
      <c r="K84" s="9" t="n">
        <v>0.0672064147020053</v>
      </c>
      <c r="L84" s="9" t="n">
        <f aca="false">SUM(H84:K84)</f>
        <v>1</v>
      </c>
      <c r="M84" s="9" t="n">
        <v>0.241876715462034</v>
      </c>
      <c r="N84" s="9" t="n">
        <v>0.121354166666667</v>
      </c>
      <c r="O84" s="9" t="n">
        <v>0.758123284537966</v>
      </c>
      <c r="P84" s="9" t="n">
        <f aca="false">M84+O84</f>
        <v>1</v>
      </c>
      <c r="Q84" s="11" t="n">
        <f aca="false">H84/I84</f>
        <v>0.814944217861014</v>
      </c>
    </row>
    <row r="85" customFormat="false" ht="15" hidden="false" customHeight="false" outlineLevel="0" collapsed="false">
      <c r="A85" s="8" t="n">
        <v>80</v>
      </c>
      <c r="B85" s="8" t="s">
        <v>28</v>
      </c>
      <c r="C85" s="8" t="s">
        <v>25</v>
      </c>
      <c r="D85" s="9" t="n">
        <v>0</v>
      </c>
      <c r="E85" s="10" t="n">
        <v>1</v>
      </c>
      <c r="F85" s="11" t="n">
        <v>4.475</v>
      </c>
      <c r="G85" s="12" t="n">
        <v>800</v>
      </c>
      <c r="H85" s="9" t="n">
        <v>0.32172310521021</v>
      </c>
      <c r="I85" s="9" t="n">
        <v>0.237673061325297</v>
      </c>
      <c r="J85" s="9" t="n">
        <v>0.303170009496173</v>
      </c>
      <c r="K85" s="9" t="n">
        <v>0.13743382396832</v>
      </c>
      <c r="L85" s="9" t="n">
        <f aca="false">SUM(H85:K85)</f>
        <v>1</v>
      </c>
      <c r="M85" s="9" t="n">
        <v>0.261562582258489</v>
      </c>
      <c r="N85" s="9" t="n">
        <v>0.1203125</v>
      </c>
      <c r="O85" s="9" t="n">
        <v>0.738437417741511</v>
      </c>
      <c r="P85" s="9" t="n">
        <f aca="false">M85+O85</f>
        <v>1</v>
      </c>
      <c r="Q85" s="11" t="n">
        <f aca="false">H85/I85</f>
        <v>1.35363723350151</v>
      </c>
    </row>
    <row r="86" customFormat="false" ht="15" hidden="false" customHeight="false" outlineLevel="0" collapsed="false">
      <c r="A86" s="8" t="n">
        <v>81</v>
      </c>
      <c r="B86" s="8" t="s">
        <v>28</v>
      </c>
      <c r="C86" s="8" t="s">
        <v>26</v>
      </c>
      <c r="D86" s="9" t="n">
        <v>0</v>
      </c>
      <c r="E86" s="10" t="n">
        <v>0.25</v>
      </c>
      <c r="F86" s="11" t="n">
        <v>1.066</v>
      </c>
      <c r="G86" s="12" t="n">
        <v>800</v>
      </c>
      <c r="H86" s="9" t="n">
        <v>0.21385818113827</v>
      </c>
      <c r="I86" s="9" t="n">
        <v>0.357398426484262</v>
      </c>
      <c r="J86" s="9" t="n">
        <v>0.261632057432416</v>
      </c>
      <c r="K86" s="9" t="n">
        <v>0.167111334945052</v>
      </c>
      <c r="L86" s="9" t="n">
        <f aca="false">SUM(H86:K86)</f>
        <v>1</v>
      </c>
      <c r="M86" s="9" t="n">
        <v>0.236223227034745</v>
      </c>
      <c r="N86" s="9" t="n">
        <v>0.14625</v>
      </c>
      <c r="O86" s="9" t="n">
        <v>0.763776772965255</v>
      </c>
      <c r="P86" s="9" t="n">
        <f aca="false">M86+O86</f>
        <v>1</v>
      </c>
      <c r="Q86" s="11" t="n">
        <f aca="false">H86/I86</f>
        <v>0.598374713738947</v>
      </c>
    </row>
    <row r="87" customFormat="false" ht="15" hidden="false" customHeight="false" outlineLevel="0" collapsed="false">
      <c r="A87" s="8" t="n">
        <v>82</v>
      </c>
      <c r="B87" s="8" t="s">
        <v>28</v>
      </c>
      <c r="C87" s="8" t="s">
        <v>26</v>
      </c>
      <c r="D87" s="9" t="n">
        <v>0</v>
      </c>
      <c r="E87" s="10" t="n">
        <v>0.5</v>
      </c>
      <c r="F87" s="11" t="n">
        <v>2.238</v>
      </c>
      <c r="G87" s="12" t="n">
        <v>800</v>
      </c>
      <c r="H87" s="9" t="n">
        <v>0.262486844835047</v>
      </c>
      <c r="I87" s="9" t="n">
        <v>0.371345541926644</v>
      </c>
      <c r="J87" s="9" t="n">
        <v>0.269742879329378</v>
      </c>
      <c r="K87" s="9" t="n">
        <v>0.0964247339089319</v>
      </c>
      <c r="L87" s="9" t="n">
        <f aca="false">SUM(H87:K87)</f>
        <v>1</v>
      </c>
      <c r="M87" s="9" t="n">
        <v>0.241876715462034</v>
      </c>
      <c r="N87" s="9" t="n">
        <v>0.121354166666667</v>
      </c>
      <c r="O87" s="9" t="n">
        <v>0.758123284537966</v>
      </c>
      <c r="P87" s="9" t="n">
        <f aca="false">M87+O87</f>
        <v>1</v>
      </c>
      <c r="Q87" s="11" t="n">
        <f aca="false">H87/I87</f>
        <v>0.706853362162884</v>
      </c>
    </row>
    <row r="88" customFormat="false" ht="15" hidden="false" customHeight="false" outlineLevel="0" collapsed="false">
      <c r="A88" s="8" t="n">
        <v>83</v>
      </c>
      <c r="B88" s="8" t="s">
        <v>28</v>
      </c>
      <c r="C88" s="8" t="s">
        <v>26</v>
      </c>
      <c r="D88" s="9" t="n">
        <v>0</v>
      </c>
      <c r="E88" s="10" t="n">
        <v>1</v>
      </c>
      <c r="F88" s="11" t="n">
        <v>4.475</v>
      </c>
      <c r="G88" s="12" t="n">
        <v>800</v>
      </c>
      <c r="H88" s="9" t="n">
        <v>0.308346225202275</v>
      </c>
      <c r="I88" s="9" t="n">
        <v>0.237438170830844</v>
      </c>
      <c r="J88" s="9" t="n">
        <v>0.276537196081514</v>
      </c>
      <c r="K88" s="9" t="n">
        <v>0.177678407885367</v>
      </c>
      <c r="L88" s="9" t="n">
        <f aca="false">SUM(H88:K88)</f>
        <v>1</v>
      </c>
      <c r="M88" s="9" t="n">
        <v>0.261562582258489</v>
      </c>
      <c r="N88" s="9" t="n">
        <v>0.1203125</v>
      </c>
      <c r="O88" s="9" t="n">
        <v>0.738437417741511</v>
      </c>
      <c r="P88" s="9" t="n">
        <f aca="false">M88+O88</f>
        <v>1</v>
      </c>
      <c r="Q88" s="11" t="n">
        <f aca="false">H88/I88</f>
        <v>1.29863797435479</v>
      </c>
    </row>
  </sheetData>
  <autoFilter ref="A5:Q88"/>
  <mergeCells count="5">
    <mergeCell ref="A1:Q1"/>
    <mergeCell ref="A2:Q2"/>
    <mergeCell ref="B4:G4"/>
    <mergeCell ref="H4:L4"/>
    <mergeCell ref="M4:P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90"/>
  </cols>
  <sheetData>
    <row r="1" customFormat="false" ht="23.85" hidden="false" customHeight="false" outlineLevel="0" collapsed="false">
      <c r="A1" s="13" t="s">
        <v>29</v>
      </c>
      <c r="B1" s="14"/>
    </row>
    <row r="2" customFormat="false" ht="15" hidden="false" customHeight="false" outlineLevel="0" collapsed="false">
      <c r="A2" s="13" t="s">
        <v>7</v>
      </c>
      <c r="B2" s="14" t="s">
        <v>30</v>
      </c>
    </row>
    <row r="3" customFormat="false" ht="15" hidden="false" customHeight="false" outlineLevel="0" collapsed="false">
      <c r="A3" s="13" t="s">
        <v>8</v>
      </c>
      <c r="B3" s="14" t="s">
        <v>31</v>
      </c>
    </row>
    <row r="4" customFormat="false" ht="15" hidden="false" customHeight="false" outlineLevel="0" collapsed="false">
      <c r="A4" s="13" t="s">
        <v>9</v>
      </c>
      <c r="B4" s="14" t="s">
        <v>32</v>
      </c>
    </row>
    <row r="5" customFormat="false" ht="15" hidden="false" customHeight="false" outlineLevel="0" collapsed="false">
      <c r="A5" s="13" t="s">
        <v>10</v>
      </c>
      <c r="B5" s="14" t="s">
        <v>33</v>
      </c>
    </row>
    <row r="6" customFormat="false" ht="15" hidden="false" customHeight="false" outlineLevel="0" collapsed="false">
      <c r="A6" s="13" t="s">
        <v>11</v>
      </c>
      <c r="B6" s="14" t="s">
        <v>34</v>
      </c>
    </row>
    <row r="7" customFormat="false" ht="23.85" hidden="false" customHeight="false" outlineLevel="0" collapsed="false">
      <c r="A7" s="13" t="s">
        <v>35</v>
      </c>
      <c r="B7" s="14" t="s">
        <v>36</v>
      </c>
    </row>
    <row r="8" customFormat="false" ht="15" hidden="false" customHeight="false" outlineLevel="0" collapsed="false">
      <c r="A8" s="14"/>
      <c r="B8" s="14"/>
    </row>
    <row r="9" customFormat="false" ht="23.85" hidden="false" customHeight="false" outlineLevel="0" collapsed="false">
      <c r="A9" s="13" t="s">
        <v>37</v>
      </c>
      <c r="B9" s="14"/>
    </row>
    <row r="10" customFormat="false" ht="23.85" hidden="false" customHeight="false" outlineLevel="0" collapsed="false">
      <c r="A10" s="13" t="s">
        <v>38</v>
      </c>
      <c r="B10" s="14" t="s">
        <v>39</v>
      </c>
    </row>
    <row r="11" customFormat="false" ht="35.05" hidden="false" customHeight="false" outlineLevel="0" collapsed="false">
      <c r="A11" s="13" t="s">
        <v>40</v>
      </c>
      <c r="B11" s="14" t="s">
        <v>41</v>
      </c>
    </row>
    <row r="12" customFormat="false" ht="15" hidden="false" customHeight="false" outlineLevel="0" collapsed="false">
      <c r="A12" s="14"/>
      <c r="B12" s="14"/>
    </row>
    <row r="13" customFormat="false" ht="23.85" hidden="false" customHeight="false" outlineLevel="0" collapsed="false">
      <c r="A13" s="13" t="s">
        <v>42</v>
      </c>
      <c r="B13" s="14"/>
    </row>
    <row r="14" customFormat="false" ht="15" hidden="false" customHeight="false" outlineLevel="0" collapsed="false">
      <c r="A14" s="13" t="s">
        <v>22</v>
      </c>
      <c r="B14" s="14" t="s">
        <v>43</v>
      </c>
    </row>
    <row r="15" customFormat="false" ht="15" hidden="false" customHeight="false" outlineLevel="0" collapsed="false">
      <c r="A15" s="14"/>
      <c r="B15" s="14"/>
    </row>
    <row r="16" customFormat="false" ht="15" hidden="false" customHeight="false" outlineLevel="0" collapsed="false">
      <c r="A16" s="13" t="s">
        <v>44</v>
      </c>
      <c r="B16" s="14"/>
    </row>
    <row r="17" customFormat="false" ht="23.85" hidden="false" customHeight="false" outlineLevel="0" collapsed="false">
      <c r="A17" s="13" t="s">
        <v>45</v>
      </c>
      <c r="B17" s="14" t="s">
        <v>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2026-08-13T20:41:20Z</dcterms:created>
  <dc:creator>openpyxl</dc:creator>
  <dc:description/>
  <dc:language>en-US</dc:language>
  <cp:lastModifiedBy/>
  <dcterms:modified xsi:type="dcterms:W3CDTF">2026-08-13T20:41:20Z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